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1DCAE01D-760B-4A61-8CC6-161A011464D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C29" i="1"/>
  <c r="C27" i="1" a="1"/>
  <c r="C27" i="1"/>
  <c r="F23" i="1"/>
  <c r="E23" i="1"/>
  <c r="D23" i="1"/>
  <c r="C23" i="1"/>
  <c r="F12" i="1"/>
  <c r="E12" i="1"/>
  <c r="C12" i="1"/>
  <c r="D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<sst xmlns="http://schemas.openxmlformats.org/spreadsheetml/2006/main" count="63" uniqueCount="28">
  <si>
    <t>LISTIN TELEFONICO</t>
  </si>
  <si>
    <t>NOMBRE</t>
  </si>
  <si>
    <t>Telefono</t>
  </si>
  <si>
    <t>Direccion</t>
  </si>
  <si>
    <t>Codigo Postal</t>
  </si>
  <si>
    <t>Ciudad</t>
  </si>
  <si>
    <t>Jose Ramon</t>
  </si>
  <si>
    <t>Calle Rue del Percebe</t>
  </si>
  <si>
    <t>Madrid</t>
  </si>
  <si>
    <t>Felipe</t>
  </si>
  <si>
    <t>CalleGravia, 24</t>
  </si>
  <si>
    <t>Nuria</t>
  </si>
  <si>
    <t>Carrer Diagonal</t>
  </si>
  <si>
    <t>08800</t>
  </si>
  <si>
    <t>Barcelona</t>
  </si>
  <si>
    <t>Ines</t>
  </si>
  <si>
    <t>Calle Belmonte</t>
  </si>
  <si>
    <t>Lugo</t>
  </si>
  <si>
    <t>Bernardo</t>
  </si>
  <si>
    <t>Paseo de castellana</t>
  </si>
  <si>
    <t>Palencia</t>
  </si>
  <si>
    <t>Luis</t>
  </si>
  <si>
    <t>Avda de las Naciones</t>
  </si>
  <si>
    <t>Alcorcon</t>
  </si>
  <si>
    <t>RESULTADO</t>
  </si>
  <si>
    <t>Codigo P</t>
  </si>
  <si>
    <t>BUSCARX</t>
  </si>
  <si>
    <t>COINCIDIR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</si>
</sst>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4"/>
  <sheetViews>
    <sheetView tabSelected="1" workbookViewId="0">
      <selection activeCell="P13" sqref="P13"/>
    </sheetView>
  </sheetViews>
  <sheetFormatPr defaultRowHeight="15"/>
  <cols>
    <col min="2" max="2" width="18.42578125" customWidth="1"/>
    <col min="3" max="3" width="20.140625" style="1" bestFit="1" customWidth="1"/>
    <col min="4" max="4" width="20.140625" bestFit="1" customWidth="1"/>
    <col min="5" max="5" width="14.7109375" style="1" bestFit="1" customWidth="1"/>
    <col min="6" max="6" width="14.42578125" bestFit="1" customWidth="1"/>
    <col min="7" max="7" width="18.5703125" bestFit="1" customWidth="1"/>
    <col min="8" max="8" width="19.5703125" bestFit="1" customWidth="1"/>
  </cols>
  <sheetData>
    <row r="1" spans="2:8">
      <c r="B1" t="s">
        <v>0</v>
      </c>
    </row>
    <row r="3" spans="2:8">
      <c r="B3" t="s">
        <v>1</v>
      </c>
      <c r="C3" s="1" t="s">
        <v>2</v>
      </c>
      <c r="D3" t="s">
        <v>3</v>
      </c>
      <c r="E3" s="1" t="s">
        <v>4</v>
      </c>
      <c r="F3" t="s">
        <v>5</v>
      </c>
    </row>
    <row r="4" spans="2:8">
      <c r="B4" t="s">
        <v>6</v>
      </c>
      <c r="C4" s="1">
        <v>111111111</v>
      </c>
      <c r="D4" t="s">
        <v>7</v>
      </c>
      <c r="E4" s="1">
        <v>28001</v>
      </c>
      <c r="F4" t="s">
        <v>8</v>
      </c>
    </row>
    <row r="5" spans="2:8">
      <c r="B5" t="s">
        <v>9</v>
      </c>
      <c r="C5" s="1">
        <v>121212121</v>
      </c>
      <c r="D5" t="s">
        <v>10</v>
      </c>
      <c r="E5" s="1">
        <v>28022</v>
      </c>
      <c r="F5" t="s">
        <v>8</v>
      </c>
    </row>
    <row r="6" spans="2:8">
      <c r="B6" t="s">
        <v>11</v>
      </c>
      <c r="C6" s="1">
        <v>232323232</v>
      </c>
      <c r="D6" t="s">
        <v>12</v>
      </c>
      <c r="E6" s="2" t="s">
        <v>13</v>
      </c>
      <c r="F6" t="s">
        <v>14</v>
      </c>
    </row>
    <row r="7" spans="2:8">
      <c r="B7" t="s">
        <v>15</v>
      </c>
      <c r="C7" s="1">
        <v>888888888</v>
      </c>
      <c r="D7" t="s">
        <v>16</v>
      </c>
      <c r="E7" s="1">
        <v>23000</v>
      </c>
      <c r="F7" t="s">
        <v>17</v>
      </c>
    </row>
    <row r="8" spans="2:8">
      <c r="B8" t="s">
        <v>18</v>
      </c>
      <c r="C8" s="1">
        <v>777777777</v>
      </c>
      <c r="D8" t="s">
        <v>19</v>
      </c>
      <c r="E8" s="1">
        <v>45000</v>
      </c>
      <c r="F8" t="s">
        <v>20</v>
      </c>
    </row>
    <row r="9" spans="2:8">
      <c r="B9" t="s">
        <v>21</v>
      </c>
      <c r="C9" s="1">
        <v>565656565</v>
      </c>
      <c r="D9" t="s">
        <v>22</v>
      </c>
      <c r="E9" s="1">
        <v>28921</v>
      </c>
      <c r="F9" t="s">
        <v>23</v>
      </c>
    </row>
    <row r="11" spans="2:8">
      <c r="C11" s="1" t="s">
        <v>24</v>
      </c>
      <c r="D11" s="1" t="s">
        <v>24</v>
      </c>
      <c r="E11" s="1" t="s">
        <v>24</v>
      </c>
      <c r="F11" s="1" t="s">
        <v>24</v>
      </c>
    </row>
    <row r="12" spans="2:8">
      <c r="B12" s="4" t="s">
        <v>18</v>
      </c>
      <c r="C12" s="3">
        <f>VLOOKUP($B$12,$B$4:$F$9,2,FALSE)</f>
        <v>777777777</v>
      </c>
      <c r="D12" s="3" t="str">
        <f>VLOOKUP($B$12,$B$4:$F$9,3,FALSE)</f>
        <v>Paseo de castellana</v>
      </c>
      <c r="E12" s="3">
        <f>VLOOKUP($B$12,$B$4:$F$9,4,FALSE)</f>
        <v>45000</v>
      </c>
      <c r="F12" s="3" t="str">
        <f>VLOOKUP($B$12,$B$4:$F$9,5,FALSE)</f>
        <v>Palencia</v>
      </c>
    </row>
    <row r="16" spans="2:8">
      <c r="B16" s="5" t="s">
        <v>1</v>
      </c>
      <c r="C16" s="5" t="s">
        <v>6</v>
      </c>
      <c r="D16" s="5" t="s">
        <v>9</v>
      </c>
      <c r="E16" s="5" t="s">
        <v>11</v>
      </c>
      <c r="F16" s="5" t="s">
        <v>15</v>
      </c>
      <c r="G16" s="5" t="s">
        <v>18</v>
      </c>
      <c r="H16" s="5" t="s">
        <v>21</v>
      </c>
    </row>
    <row r="17" spans="2:16">
      <c r="B17" s="5" t="s">
        <v>2</v>
      </c>
      <c r="C17" s="5">
        <v>111111111</v>
      </c>
      <c r="D17" s="5">
        <v>121212121</v>
      </c>
      <c r="E17" s="5">
        <v>232323232</v>
      </c>
      <c r="F17" s="5">
        <v>888888888</v>
      </c>
      <c r="G17" s="5">
        <v>777777777</v>
      </c>
      <c r="H17" s="5">
        <v>565656565</v>
      </c>
    </row>
    <row r="18" spans="2:16">
      <c r="B18" s="5" t="s">
        <v>3</v>
      </c>
      <c r="C18" s="5" t="s">
        <v>7</v>
      </c>
      <c r="D18" s="5" t="s">
        <v>10</v>
      </c>
      <c r="E18" s="5" t="s">
        <v>12</v>
      </c>
      <c r="F18" s="5" t="s">
        <v>16</v>
      </c>
      <c r="G18" s="5" t="s">
        <v>19</v>
      </c>
      <c r="H18" s="5" t="s">
        <v>22</v>
      </c>
    </row>
    <row r="19" spans="2:16">
      <c r="B19" s="5" t="s">
        <v>25</v>
      </c>
      <c r="C19" s="5">
        <v>28001</v>
      </c>
      <c r="D19" s="5">
        <v>28022</v>
      </c>
      <c r="E19" s="6" t="s">
        <v>13</v>
      </c>
      <c r="F19" s="5">
        <v>23000</v>
      </c>
      <c r="G19" s="5">
        <v>45000</v>
      </c>
      <c r="H19" s="5">
        <v>28921</v>
      </c>
    </row>
    <row r="20" spans="2:16">
      <c r="B20" s="5" t="s">
        <v>5</v>
      </c>
      <c r="C20" s="5" t="s">
        <v>8</v>
      </c>
      <c r="D20" s="5" t="s">
        <v>8</v>
      </c>
      <c r="E20" s="5" t="s">
        <v>14</v>
      </c>
      <c r="F20" s="5" t="s">
        <v>17</v>
      </c>
      <c r="G20" s="5" t="s">
        <v>20</v>
      </c>
      <c r="H20" s="5" t="s">
        <v>23</v>
      </c>
    </row>
    <row r="22" spans="2:16">
      <c r="C22" s="1" t="s">
        <v>24</v>
      </c>
      <c r="D22" s="1" t="s">
        <v>24</v>
      </c>
      <c r="E22" s="1" t="s">
        <v>24</v>
      </c>
      <c r="F22" s="1" t="s">
        <v>24</v>
      </c>
    </row>
    <row r="23" spans="2:16">
      <c r="B23" s="4" t="s">
        <v>15</v>
      </c>
      <c r="C23" s="3">
        <f>HLOOKUP($B$23,$B$16:$H$20,2,FALSE)</f>
        <v>888888888</v>
      </c>
      <c r="D23" s="3" t="str">
        <f>HLOOKUP($B$23,B16:H20,3,FALSE)</f>
        <v>Calle Belmonte</v>
      </c>
      <c r="E23" s="3">
        <f>HLOOKUP($B$23,$B$16:$H$20,4,FALSE)</f>
        <v>23000</v>
      </c>
      <c r="F23" s="3" t="str">
        <f>HLOOKUP($B$23,$B$16:$H$20,5,FALSE)</f>
        <v>Lugo</v>
      </c>
    </row>
    <row r="25" spans="2:16">
      <c r="B25" s="13" t="s">
        <v>26</v>
      </c>
      <c r="D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2:16">
      <c r="B26" s="1"/>
      <c r="D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2:16">
      <c r="B27" s="8" t="s">
        <v>18</v>
      </c>
      <c r="C27" s="3" cm="1">
        <f t="array" ref="C27:F27">_xlfn.XLOOKUP(B27,B3:B9,C3:F9)</f>
        <v>777777777</v>
      </c>
      <c r="D27" s="3" t="str">
        <v>Paseo de castellana</v>
      </c>
      <c r="E27" s="3">
        <v>45000</v>
      </c>
      <c r="F27" s="3" t="str">
        <v>Palencia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2:16">
      <c r="B28" s="11"/>
      <c r="C28" s="9"/>
      <c r="D28" s="9"/>
      <c r="E28" s="9"/>
      <c r="F28" s="9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>
      <c r="B29" s="8">
        <v>111111111</v>
      </c>
      <c r="C29" s="10" t="str">
        <f>_xlfn.XLOOKUP(B29,C3:C9,B3:B9,"No se encuentra")</f>
        <v>Jose Ramon</v>
      </c>
      <c r="D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>
      <c r="B30" s="9"/>
      <c r="C30" s="12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>
      <c r="B31" s="9"/>
      <c r="C31" s="12"/>
      <c r="D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>
      <c r="B32" s="13" t="s">
        <v>27</v>
      </c>
      <c r="D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>
      <c r="B33" s="1"/>
      <c r="D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>
      <c r="B34" s="7" t="s">
        <v>11</v>
      </c>
      <c r="C34" s="3">
        <f>MATCH(B34,B4:B9)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2025-10-20T06:40:00Z</dcterms:created>
  <dcterms:modified xsi:type="dcterms:W3CDTF">2025-10-21T09:18:52Z</dcterms:modified>
  <cp:category/>
  <cp:contentStatus/>
</cp:coreProperties>
</file>