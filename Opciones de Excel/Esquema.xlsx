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70DDCC3C-856A-41B9-AB98-21CC470A89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C45" i="1"/>
  <c r="E44" i="1"/>
  <c r="E43" i="1"/>
  <c r="E42" i="1"/>
  <c r="E41" i="1"/>
  <c r="E45" i="1" s="1"/>
  <c r="D40" i="1"/>
  <c r="C40" i="1"/>
  <c r="E39" i="1"/>
  <c r="E38" i="1"/>
  <c r="E37" i="1"/>
  <c r="E36" i="1"/>
  <c r="E40" i="1" s="1"/>
  <c r="D35" i="1"/>
  <c r="D46" i="1" s="1"/>
  <c r="C35" i="1"/>
  <c r="C46" i="1" s="1"/>
  <c r="E34" i="1"/>
  <c r="E33" i="1"/>
  <c r="E32" i="1"/>
  <c r="E31" i="1"/>
  <c r="E35" i="1" s="1"/>
  <c r="E46" i="1" s="1"/>
  <c r="D28" i="1"/>
  <c r="C28" i="1"/>
  <c r="E27" i="1"/>
  <c r="E26" i="1"/>
  <c r="E25" i="1"/>
  <c r="E24" i="1"/>
  <c r="E28" i="1" s="1"/>
  <c r="D23" i="1"/>
  <c r="C23" i="1"/>
  <c r="E22" i="1"/>
  <c r="E21" i="1"/>
  <c r="E20" i="1"/>
  <c r="E19" i="1"/>
  <c r="E23" i="1" s="1"/>
  <c r="D18" i="1"/>
  <c r="D29" i="1" s="1"/>
  <c r="C18" i="1"/>
  <c r="C29" i="1" s="1"/>
  <c r="E17" i="1"/>
  <c r="E16" i="1"/>
  <c r="E15" i="1"/>
  <c r="E14" i="1"/>
  <c r="E18" i="1" s="1"/>
  <c r="E29" i="1" s="1"/>
  <c r="AK6" i="1"/>
  <c r="AJ6" i="1"/>
  <c r="AI6" i="1"/>
  <c r="AH6" i="1"/>
  <c r="AL6" i="1" s="1"/>
  <c r="AF6" i="1"/>
  <c r="AE6" i="1"/>
  <c r="AD6" i="1"/>
  <c r="AC6" i="1"/>
  <c r="AG6" i="1" s="1"/>
  <c r="AA6" i="1"/>
  <c r="Z6" i="1"/>
  <c r="Y6" i="1"/>
  <c r="X6" i="1"/>
  <c r="AB6" i="1" s="1"/>
  <c r="AM6" i="1" s="1"/>
  <c r="AL5" i="1"/>
  <c r="AG5" i="1"/>
  <c r="AB5" i="1"/>
  <c r="AM5" i="1" s="1"/>
  <c r="AL4" i="1"/>
  <c r="AG4" i="1"/>
  <c r="AB4" i="1"/>
  <c r="AM4" i="1" s="1"/>
  <c r="P5" i="1"/>
  <c r="P4" i="1"/>
  <c r="U4" i="1"/>
  <c r="U5" i="1"/>
  <c r="K5" i="1"/>
  <c r="V5" i="1" s="1"/>
  <c r="K4" i="1"/>
  <c r="V4" i="1" s="1"/>
  <c r="H6" i="1"/>
  <c r="I6" i="1"/>
  <c r="J6" i="1"/>
  <c r="L6" i="1"/>
  <c r="M6" i="1"/>
  <c r="N6" i="1"/>
  <c r="O6" i="1"/>
  <c r="Q6" i="1"/>
  <c r="R6" i="1"/>
  <c r="S6" i="1"/>
  <c r="T6" i="1"/>
  <c r="G6" i="1"/>
  <c r="K6" i="1" s="1"/>
  <c r="P6" i="1" l="1"/>
  <c r="U6" i="1"/>
  <c r="V6" i="1" l="1"/>
</calcChain>
</file>

<file path=xl/sharedStrings.xml><?xml version="1.0" encoding="utf-8"?>
<sst xmlns="http://schemas.openxmlformats.org/spreadsheetml/2006/main" count="81" uniqueCount="21">
  <si>
    <t>Esquema</t>
  </si>
  <si>
    <t>AÑO 2024</t>
  </si>
  <si>
    <t>AÑO 2025</t>
  </si>
  <si>
    <t>Enero</t>
  </si>
  <si>
    <t>Febrero</t>
  </si>
  <si>
    <t>Marzo</t>
  </si>
  <si>
    <t>Abril</t>
  </si>
  <si>
    <t>1. Cuatrimestre</t>
  </si>
  <si>
    <t>Mayo</t>
  </si>
  <si>
    <t>Junio</t>
  </si>
  <si>
    <t>Julio</t>
  </si>
  <si>
    <t>Agosto</t>
  </si>
  <si>
    <t>2. Cuatrimestre</t>
  </si>
  <si>
    <t>Septiembre</t>
  </si>
  <si>
    <t>Octubre</t>
  </si>
  <si>
    <t>Noviembre</t>
  </si>
  <si>
    <t>Diciembre</t>
  </si>
  <si>
    <t>3. Cuatrimestre</t>
  </si>
  <si>
    <t>Gastos</t>
  </si>
  <si>
    <t>Ingresos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</si>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</sst>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13" xfId="0" applyBorder="1"/>
    <xf numFmtId="0" fontId="2" fillId="0" borderId="6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9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/>
    <xf numFmtId="0" fontId="0" fillId="2" borderId="2" xfId="0" applyFill="1" applyBorder="1" applyAlignment="1">
      <alignment horizontal="center" vertical="center"/>
    </xf>
    <xf numFmtId="0" fontId="0" fillId="0" borderId="14" xfId="0" applyBorder="1"/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2" xfId="0" applyBorder="1"/>
    <xf numFmtId="0" fontId="0" fillId="0" borderId="11" xfId="0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6"/>
  <sheetViews>
    <sheetView tabSelected="1" workbookViewId="0">
      <selection activeCell="F12" sqref="F12"/>
    </sheetView>
  </sheetViews>
  <sheetFormatPr defaultColWidth="9.140625" defaultRowHeight="15" outlineLevelRow="2" outlineLevelCol="2"/>
  <cols>
    <col min="1" max="6" width="15.7109375" customWidth="1"/>
    <col min="7" max="10" width="15.7109375" style="1" hidden="1" customWidth="1" outlineLevel="2"/>
    <col min="11" max="11" width="15.7109375" style="1" customWidth="1" outlineLevel="1" collapsed="1"/>
    <col min="12" max="15" width="15.7109375" style="1" hidden="1" customWidth="1" outlineLevel="2"/>
    <col min="16" max="16" width="15.7109375" style="1" customWidth="1" outlineLevel="1" collapsed="1"/>
    <col min="17" max="20" width="15.7109375" style="1" hidden="1" customWidth="1" outlineLevel="2"/>
    <col min="21" max="21" width="15.7109375" customWidth="1" outlineLevel="1" collapsed="1"/>
    <col min="22" max="22" width="9.140625" bestFit="1" customWidth="1"/>
    <col min="23" max="23" width="15.7109375" customWidth="1" outlineLevel="1"/>
    <col min="24" max="27" width="15.7109375" hidden="1" customWidth="1" outlineLevel="2"/>
    <col min="28" max="28" width="15.7109375" customWidth="1" outlineLevel="1" collapsed="1"/>
    <col min="29" max="32" width="15.7109375" hidden="1" customWidth="1" outlineLevel="2"/>
    <col min="33" max="33" width="15.7109375" customWidth="1" outlineLevel="1" collapsed="1"/>
    <col min="34" max="37" width="15.7109375" hidden="1" customWidth="1" outlineLevel="2"/>
    <col min="38" max="38" width="15.7109375" customWidth="1" outlineLevel="1" collapsed="1"/>
    <col min="39" max="39" width="9.140625" bestFit="1" customWidth="1"/>
  </cols>
  <sheetData>
    <row r="1" spans="1:39">
      <c r="F1" s="1" t="s">
        <v>0</v>
      </c>
    </row>
    <row r="2" spans="1:39" ht="30" customHeight="1">
      <c r="F2" s="39"/>
      <c r="G2" s="35"/>
      <c r="H2" s="35"/>
      <c r="I2" s="35"/>
      <c r="J2" s="35"/>
      <c r="K2" s="3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1" t="s">
        <v>1</v>
      </c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4"/>
      <c r="AM2" s="45" t="s">
        <v>2</v>
      </c>
    </row>
    <row r="3" spans="1:39">
      <c r="F3" s="40"/>
      <c r="G3" s="8" t="s">
        <v>3</v>
      </c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8" t="s">
        <v>16</v>
      </c>
      <c r="U3" s="9" t="s">
        <v>17</v>
      </c>
      <c r="V3" s="15"/>
      <c r="W3" s="40"/>
      <c r="X3" s="5" t="s">
        <v>3</v>
      </c>
      <c r="Y3" s="5" t="s">
        <v>4</v>
      </c>
      <c r="Z3" s="5" t="s">
        <v>5</v>
      </c>
      <c r="AA3" s="5" t="s">
        <v>6</v>
      </c>
      <c r="AB3" s="5" t="s">
        <v>7</v>
      </c>
      <c r="AC3" s="5" t="s">
        <v>8</v>
      </c>
      <c r="AD3" s="5" t="s">
        <v>9</v>
      </c>
      <c r="AE3" s="5" t="s">
        <v>10</v>
      </c>
      <c r="AF3" s="5" t="s">
        <v>11</v>
      </c>
      <c r="AG3" s="5" t="s">
        <v>12</v>
      </c>
      <c r="AH3" s="5" t="s">
        <v>13</v>
      </c>
      <c r="AI3" s="5" t="s">
        <v>14</v>
      </c>
      <c r="AJ3" s="5" t="s">
        <v>15</v>
      </c>
      <c r="AK3" s="5" t="s">
        <v>16</v>
      </c>
      <c r="AL3" s="5" t="s">
        <v>17</v>
      </c>
      <c r="AM3" s="36"/>
    </row>
    <row r="4" spans="1:39" ht="18.75">
      <c r="F4" s="36" t="s">
        <v>18</v>
      </c>
      <c r="G4" s="5">
        <v>200</v>
      </c>
      <c r="H4" s="5">
        <v>701</v>
      </c>
      <c r="I4" s="5">
        <v>469</v>
      </c>
      <c r="J4" s="5">
        <v>976</v>
      </c>
      <c r="K4" s="12">
        <f>SUM(G4:J4)</f>
        <v>2346</v>
      </c>
      <c r="L4" s="5">
        <v>455</v>
      </c>
      <c r="M4" s="5">
        <v>590</v>
      </c>
      <c r="N4" s="5">
        <v>707</v>
      </c>
      <c r="O4" s="5">
        <v>796</v>
      </c>
      <c r="P4" s="12">
        <f>SUM(L4:O4)</f>
        <v>2548</v>
      </c>
      <c r="Q4" s="5">
        <v>686</v>
      </c>
      <c r="R4" s="5">
        <v>376</v>
      </c>
      <c r="S4" s="5">
        <v>677</v>
      </c>
      <c r="T4" s="5">
        <v>402</v>
      </c>
      <c r="U4" s="10">
        <f>SUM(Q4:T4)</f>
        <v>2141</v>
      </c>
      <c r="V4" s="16">
        <f>SUM(K4,P4,U4)</f>
        <v>7035</v>
      </c>
      <c r="W4" s="36" t="s">
        <v>18</v>
      </c>
      <c r="X4" s="5">
        <v>200</v>
      </c>
      <c r="Y4" s="5">
        <v>701</v>
      </c>
      <c r="Z4" s="5">
        <v>469</v>
      </c>
      <c r="AA4" s="5">
        <v>976</v>
      </c>
      <c r="AB4" s="12">
        <f>SUM(X4:AA4)</f>
        <v>2346</v>
      </c>
      <c r="AC4" s="5">
        <v>455</v>
      </c>
      <c r="AD4" s="5">
        <v>590</v>
      </c>
      <c r="AE4" s="5">
        <v>707</v>
      </c>
      <c r="AF4" s="5">
        <v>796</v>
      </c>
      <c r="AG4" s="12">
        <f>SUM(AC4:AF4)</f>
        <v>2548</v>
      </c>
      <c r="AH4" s="5">
        <v>686</v>
      </c>
      <c r="AI4" s="5">
        <v>376</v>
      </c>
      <c r="AJ4" s="5">
        <v>677</v>
      </c>
      <c r="AK4" s="5">
        <v>402</v>
      </c>
      <c r="AL4" s="12">
        <f>SUM(AH4:AK4)</f>
        <v>2141</v>
      </c>
      <c r="AM4" s="37">
        <f>SUM(AB4,AG4,AL4)</f>
        <v>7035</v>
      </c>
    </row>
    <row r="5" spans="1:39" ht="18.75">
      <c r="F5" s="36" t="s">
        <v>19</v>
      </c>
      <c r="G5" s="5">
        <v>500</v>
      </c>
      <c r="H5" s="5">
        <v>842</v>
      </c>
      <c r="I5" s="5">
        <v>789</v>
      </c>
      <c r="J5" s="5">
        <v>1654</v>
      </c>
      <c r="K5" s="12">
        <f t="shared" ref="K5:K6" si="0">SUM(G5:J5)</f>
        <v>3785</v>
      </c>
      <c r="L5" s="5">
        <v>2156</v>
      </c>
      <c r="M5" s="5">
        <v>596</v>
      </c>
      <c r="N5" s="5">
        <v>717</v>
      </c>
      <c r="O5" s="5">
        <v>945</v>
      </c>
      <c r="P5" s="12">
        <f>SUM(L5:O5)</f>
        <v>4414</v>
      </c>
      <c r="Q5" s="5">
        <v>1678</v>
      </c>
      <c r="R5" s="5">
        <v>450</v>
      </c>
      <c r="S5" s="5">
        <v>739</v>
      </c>
      <c r="T5" s="5">
        <v>876</v>
      </c>
      <c r="U5" s="10">
        <f t="shared" ref="U5:U6" si="1">SUM(Q5:T5)</f>
        <v>3743</v>
      </c>
      <c r="V5" s="16">
        <f t="shared" ref="V5:V6" si="2">SUM(K5,P5,U5)</f>
        <v>11942</v>
      </c>
      <c r="W5" s="36" t="s">
        <v>19</v>
      </c>
      <c r="X5" s="5">
        <v>500</v>
      </c>
      <c r="Y5" s="5">
        <v>842</v>
      </c>
      <c r="Z5" s="5">
        <v>789</v>
      </c>
      <c r="AA5" s="5">
        <v>1654</v>
      </c>
      <c r="AB5" s="12">
        <f t="shared" ref="AB5:AB6" si="3">SUM(X5:AA5)</f>
        <v>3785</v>
      </c>
      <c r="AC5" s="5">
        <v>2156</v>
      </c>
      <c r="AD5" s="5">
        <v>596</v>
      </c>
      <c r="AE5" s="5">
        <v>717</v>
      </c>
      <c r="AF5" s="5">
        <v>945</v>
      </c>
      <c r="AG5" s="12">
        <f>SUM(AC5:AF5)</f>
        <v>4414</v>
      </c>
      <c r="AH5" s="5">
        <v>1678</v>
      </c>
      <c r="AI5" s="5">
        <v>450</v>
      </c>
      <c r="AJ5" s="5">
        <v>739</v>
      </c>
      <c r="AK5" s="5">
        <v>876</v>
      </c>
      <c r="AL5" s="12">
        <f t="shared" ref="AL5:AL6" si="4">SUM(AH5:AK5)</f>
        <v>3743</v>
      </c>
      <c r="AM5" s="37">
        <f t="shared" ref="AM5:AM6" si="5">SUM(AB5,AG5,AL5)</f>
        <v>11942</v>
      </c>
    </row>
    <row r="6" spans="1:39" ht="18.75">
      <c r="F6" s="17" t="s">
        <v>20</v>
      </c>
      <c r="G6" s="7">
        <f>G5-G4</f>
        <v>300</v>
      </c>
      <c r="H6" s="7">
        <f t="shared" ref="H6:T6" si="6">H5-H4</f>
        <v>141</v>
      </c>
      <c r="I6" s="7">
        <f t="shared" si="6"/>
        <v>320</v>
      </c>
      <c r="J6" s="7">
        <f t="shared" si="6"/>
        <v>678</v>
      </c>
      <c r="K6" s="13">
        <f t="shared" si="0"/>
        <v>1439</v>
      </c>
      <c r="L6" s="7">
        <f t="shared" si="6"/>
        <v>1701</v>
      </c>
      <c r="M6" s="7">
        <f t="shared" si="6"/>
        <v>6</v>
      </c>
      <c r="N6" s="7">
        <f t="shared" si="6"/>
        <v>10</v>
      </c>
      <c r="O6" s="7">
        <f t="shared" si="6"/>
        <v>149</v>
      </c>
      <c r="P6" s="13">
        <f>SUM(L6:O6)</f>
        <v>1866</v>
      </c>
      <c r="Q6" s="7">
        <f t="shared" si="6"/>
        <v>992</v>
      </c>
      <c r="R6" s="7">
        <f t="shared" si="6"/>
        <v>74</v>
      </c>
      <c r="S6" s="7">
        <f t="shared" si="6"/>
        <v>62</v>
      </c>
      <c r="T6" s="7">
        <f t="shared" si="6"/>
        <v>474</v>
      </c>
      <c r="U6" s="11">
        <f t="shared" si="1"/>
        <v>1602</v>
      </c>
      <c r="V6" s="18">
        <f t="shared" si="2"/>
        <v>4907</v>
      </c>
      <c r="W6" s="17" t="s">
        <v>20</v>
      </c>
      <c r="X6" s="7">
        <f>X5-X4</f>
        <v>300</v>
      </c>
      <c r="Y6" s="7">
        <f t="shared" ref="Y6" si="7">Y5-Y4</f>
        <v>141</v>
      </c>
      <c r="Z6" s="7">
        <f t="shared" ref="Z6" si="8">Z5-Z4</f>
        <v>320</v>
      </c>
      <c r="AA6" s="7">
        <f t="shared" ref="AA6" si="9">AA5-AA4</f>
        <v>678</v>
      </c>
      <c r="AB6" s="13">
        <f t="shared" si="3"/>
        <v>1439</v>
      </c>
      <c r="AC6" s="7">
        <f t="shared" ref="AC6" si="10">AC5-AC4</f>
        <v>1701</v>
      </c>
      <c r="AD6" s="7">
        <f t="shared" ref="AD6" si="11">AD5-AD4</f>
        <v>6</v>
      </c>
      <c r="AE6" s="7">
        <f t="shared" ref="AE6" si="12">AE5-AE4</f>
        <v>10</v>
      </c>
      <c r="AF6" s="7">
        <f t="shared" ref="AF6" si="13">AF5-AF4</f>
        <v>149</v>
      </c>
      <c r="AG6" s="13">
        <f>SUM(AC6:AF6)</f>
        <v>1866</v>
      </c>
      <c r="AH6" s="7">
        <f t="shared" ref="AH6" si="14">AH5-AH4</f>
        <v>992</v>
      </c>
      <c r="AI6" s="7">
        <f t="shared" ref="AI6" si="15">AI5-AI4</f>
        <v>74</v>
      </c>
      <c r="AJ6" s="7">
        <f t="shared" ref="AJ6" si="16">AJ5-AJ4</f>
        <v>62</v>
      </c>
      <c r="AK6" s="7">
        <f t="shared" ref="AK6" si="17">AK5-AK4</f>
        <v>474</v>
      </c>
      <c r="AL6" s="13">
        <f t="shared" si="4"/>
        <v>1602</v>
      </c>
      <c r="AM6" s="38">
        <f t="shared" si="5"/>
        <v>4907</v>
      </c>
    </row>
    <row r="7" spans="1:3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W7" s="1"/>
      <c r="X7" s="2"/>
      <c r="Y7" s="2"/>
      <c r="Z7" s="2"/>
      <c r="AA7" s="2"/>
    </row>
    <row r="8" spans="1:3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W8" s="1"/>
      <c r="X8" s="2"/>
      <c r="Y8" s="2"/>
      <c r="Z8" s="2"/>
      <c r="AA8" s="2"/>
    </row>
    <row r="9" spans="1:3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W9" s="1"/>
      <c r="X9" s="2"/>
      <c r="Y9" s="2"/>
      <c r="Z9" s="2"/>
      <c r="AA9" s="2"/>
    </row>
    <row r="10" spans="1:3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W10" s="1"/>
      <c r="X10" s="2"/>
      <c r="Y10" s="2"/>
      <c r="Z10" s="2"/>
      <c r="AA10" s="2"/>
    </row>
    <row r="11" spans="1:3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W11" s="1"/>
      <c r="X11" s="2"/>
      <c r="Y11" s="2"/>
      <c r="Z11" s="2"/>
      <c r="AA11" s="2"/>
    </row>
    <row r="12" spans="1:3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W12" s="1"/>
      <c r="X12" s="2"/>
      <c r="Y12" s="2"/>
      <c r="Z12" s="2"/>
      <c r="AA12" s="2"/>
    </row>
    <row r="13" spans="1:39">
      <c r="A13" s="14" t="s">
        <v>1</v>
      </c>
      <c r="B13" s="19"/>
      <c r="C13" s="19" t="s">
        <v>18</v>
      </c>
      <c r="D13" s="19" t="s">
        <v>19</v>
      </c>
      <c r="E13" s="20" t="s">
        <v>20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/>
      <c r="R13"/>
      <c r="T13" s="2"/>
      <c r="U13" s="2"/>
      <c r="V13" s="2"/>
      <c r="W13" s="2"/>
    </row>
    <row r="14" spans="1:39" hidden="1" outlineLevel="2">
      <c r="A14" s="22"/>
      <c r="B14" s="5" t="s">
        <v>3</v>
      </c>
      <c r="C14" s="5">
        <v>200</v>
      </c>
      <c r="D14" s="5">
        <v>500</v>
      </c>
      <c r="E14" s="6">
        <f>D14-C14</f>
        <v>300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/>
      <c r="Q14"/>
      <c r="S14" s="2"/>
      <c r="T14" s="2"/>
      <c r="U14" s="2"/>
      <c r="V14" s="2"/>
    </row>
    <row r="15" spans="1:39" hidden="1" outlineLevel="2">
      <c r="A15" s="22"/>
      <c r="B15" s="5" t="s">
        <v>4</v>
      </c>
      <c r="C15" s="5">
        <v>701</v>
      </c>
      <c r="D15" s="5">
        <v>842</v>
      </c>
      <c r="E15" s="6">
        <f>D15-C15</f>
        <v>141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/>
      <c r="Q15"/>
      <c r="S15" s="2"/>
      <c r="T15" s="2"/>
      <c r="U15" s="2"/>
      <c r="V15" s="2"/>
    </row>
    <row r="16" spans="1:39" hidden="1" outlineLevel="2">
      <c r="A16" s="22"/>
      <c r="B16" s="5" t="s">
        <v>5</v>
      </c>
      <c r="C16" s="5">
        <v>469</v>
      </c>
      <c r="D16" s="5">
        <v>789</v>
      </c>
      <c r="E16" s="6">
        <f>D16-C16</f>
        <v>320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/>
      <c r="Q16"/>
      <c r="S16" s="2"/>
      <c r="T16" s="2"/>
      <c r="U16" s="2"/>
      <c r="V16" s="2"/>
    </row>
    <row r="17" spans="1:22" hidden="1" outlineLevel="2">
      <c r="A17" s="22"/>
      <c r="B17" s="5" t="s">
        <v>6</v>
      </c>
      <c r="C17" s="5">
        <v>976</v>
      </c>
      <c r="D17" s="5">
        <v>1654</v>
      </c>
      <c r="E17" s="6">
        <f>D17-C17</f>
        <v>678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/>
      <c r="Q17"/>
      <c r="S17" s="2"/>
      <c r="T17" s="2"/>
      <c r="U17" s="2"/>
      <c r="V17" s="2"/>
    </row>
    <row r="18" spans="1:22" hidden="1" outlineLevel="1" collapsed="1">
      <c r="A18" s="21"/>
      <c r="B18" s="23" t="s">
        <v>7</v>
      </c>
      <c r="C18" s="24">
        <f>SUM(C14:C17)</f>
        <v>2346</v>
      </c>
      <c r="D18" s="24">
        <f>SUM(D14:D17)</f>
        <v>3785</v>
      </c>
      <c r="E18" s="25">
        <f>SUM(E14:E17)</f>
        <v>1439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/>
      <c r="Q18"/>
      <c r="S18" s="2"/>
      <c r="T18" s="2"/>
      <c r="U18" s="2"/>
      <c r="V18" s="2"/>
    </row>
    <row r="19" spans="1:22" hidden="1" outlineLevel="2">
      <c r="A19" s="22"/>
      <c r="B19" s="5" t="s">
        <v>8</v>
      </c>
      <c r="C19" s="5">
        <v>455</v>
      </c>
      <c r="D19" s="5">
        <v>2156</v>
      </c>
      <c r="E19" s="6">
        <f>D19-C19</f>
        <v>1701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/>
      <c r="Q19"/>
      <c r="S19"/>
      <c r="T19" s="2"/>
      <c r="U19" s="2"/>
      <c r="V19" s="2"/>
    </row>
    <row r="20" spans="1:22" hidden="1" outlineLevel="2">
      <c r="A20" s="22"/>
      <c r="B20" s="5" t="s">
        <v>9</v>
      </c>
      <c r="C20" s="5">
        <v>590</v>
      </c>
      <c r="D20" s="5">
        <v>596</v>
      </c>
      <c r="E20" s="6">
        <f>D20-C20</f>
        <v>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/>
      <c r="Q20"/>
      <c r="R20"/>
      <c r="S20"/>
      <c r="T20"/>
    </row>
    <row r="21" spans="1:22" hidden="1" outlineLevel="2">
      <c r="A21" s="22"/>
      <c r="B21" s="5" t="s">
        <v>10</v>
      </c>
      <c r="C21" s="5">
        <v>707</v>
      </c>
      <c r="D21" s="5">
        <v>717</v>
      </c>
      <c r="E21" s="6">
        <f>D21-C21</f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/>
      <c r="Q21"/>
      <c r="R21"/>
      <c r="S21"/>
      <c r="T21"/>
    </row>
    <row r="22" spans="1:22" hidden="1" outlineLevel="2">
      <c r="A22" s="22"/>
      <c r="B22" s="5" t="s">
        <v>11</v>
      </c>
      <c r="C22" s="5">
        <v>796</v>
      </c>
      <c r="D22" s="5">
        <v>945</v>
      </c>
      <c r="E22" s="6">
        <f>D22-C22</f>
        <v>149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/>
      <c r="Q22"/>
      <c r="R22"/>
      <c r="S22"/>
      <c r="T22"/>
    </row>
    <row r="23" spans="1:22" hidden="1" outlineLevel="1" collapsed="1">
      <c r="A23" s="21"/>
      <c r="B23" s="23" t="s">
        <v>12</v>
      </c>
      <c r="C23" s="24">
        <f>SUM(C19:C22)</f>
        <v>2548</v>
      </c>
      <c r="D23" s="24">
        <f>SUM(D19:D22)</f>
        <v>4414</v>
      </c>
      <c r="E23" s="25">
        <f>SUM(E19:E22)</f>
        <v>1866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/>
      <c r="Q23"/>
      <c r="R23"/>
      <c r="S23"/>
      <c r="T23"/>
    </row>
    <row r="24" spans="1:22" hidden="1" outlineLevel="2">
      <c r="A24" s="22"/>
      <c r="B24" s="5" t="s">
        <v>13</v>
      </c>
      <c r="C24" s="5">
        <v>686</v>
      </c>
      <c r="D24" s="5">
        <v>1678</v>
      </c>
      <c r="E24" s="6">
        <f>D24-C24</f>
        <v>992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/>
      <c r="Q24"/>
      <c r="R24"/>
      <c r="S24"/>
      <c r="T24"/>
    </row>
    <row r="25" spans="1:22" hidden="1" outlineLevel="2">
      <c r="A25" s="22"/>
      <c r="B25" s="5" t="s">
        <v>14</v>
      </c>
      <c r="C25" s="5">
        <v>376</v>
      </c>
      <c r="D25" s="5">
        <v>450</v>
      </c>
      <c r="E25" s="6">
        <f>D25-C25</f>
        <v>74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/>
      <c r="Q25"/>
      <c r="R25"/>
      <c r="S25"/>
      <c r="T25"/>
    </row>
    <row r="26" spans="1:22" hidden="1" outlineLevel="2">
      <c r="A26" s="22"/>
      <c r="B26" s="5" t="s">
        <v>15</v>
      </c>
      <c r="C26" s="5">
        <v>677</v>
      </c>
      <c r="D26" s="5">
        <v>739</v>
      </c>
      <c r="E26" s="6">
        <f>D26-C26</f>
        <v>62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/>
      <c r="Q26"/>
      <c r="R26"/>
      <c r="S26"/>
      <c r="T26"/>
    </row>
    <row r="27" spans="1:22" hidden="1" outlineLevel="2">
      <c r="A27" s="22"/>
      <c r="B27" s="5" t="s">
        <v>16</v>
      </c>
      <c r="C27" s="5">
        <v>402</v>
      </c>
      <c r="D27" s="5">
        <v>876</v>
      </c>
      <c r="E27" s="6">
        <f>D27-C27</f>
        <v>474</v>
      </c>
      <c r="F27" s="1"/>
      <c r="P27"/>
      <c r="Q27"/>
      <c r="R27"/>
      <c r="S27"/>
      <c r="T27"/>
    </row>
    <row r="28" spans="1:22" hidden="1" outlineLevel="1" collapsed="1">
      <c r="A28" s="21"/>
      <c r="B28" s="31" t="s">
        <v>17</v>
      </c>
      <c r="C28" s="32">
        <f>SUM(C24:C27)</f>
        <v>2141</v>
      </c>
      <c r="D28" s="32">
        <f>SUM(D24:D27)</f>
        <v>3743</v>
      </c>
      <c r="E28" s="33">
        <f>SUM(E24:E27)</f>
        <v>1602</v>
      </c>
      <c r="F28" s="1"/>
      <c r="P28"/>
      <c r="Q28"/>
      <c r="R28"/>
      <c r="S28"/>
      <c r="T28"/>
    </row>
    <row r="29" spans="1:22" ht="18.75" collapsed="1">
      <c r="A29" s="30" t="s">
        <v>1</v>
      </c>
      <c r="B29" s="27"/>
      <c r="C29" s="28">
        <f>SUM(C18,C23,C28)</f>
        <v>7035</v>
      </c>
      <c r="D29" s="28">
        <f>SUM(D18,D23,D28)</f>
        <v>11942</v>
      </c>
      <c r="E29" s="29">
        <f>SUM(E18,E23,E28)</f>
        <v>4907</v>
      </c>
      <c r="F29" s="1"/>
      <c r="P29"/>
      <c r="Q29"/>
      <c r="R29"/>
      <c r="S29"/>
      <c r="T29"/>
    </row>
    <row r="30" spans="1:22">
      <c r="A30" s="22" t="s">
        <v>2</v>
      </c>
      <c r="B30" s="15"/>
      <c r="C30" s="15" t="s">
        <v>18</v>
      </c>
      <c r="D30" s="15" t="s">
        <v>19</v>
      </c>
      <c r="E30" s="34" t="s">
        <v>20</v>
      </c>
      <c r="F30" s="1"/>
      <c r="Q30"/>
      <c r="R30"/>
      <c r="S30"/>
      <c r="T30"/>
    </row>
    <row r="31" spans="1:22" hidden="1" outlineLevel="2">
      <c r="A31" s="22"/>
      <c r="B31" s="5" t="s">
        <v>3</v>
      </c>
      <c r="C31" s="5">
        <v>200</v>
      </c>
      <c r="D31" s="5">
        <v>500</v>
      </c>
      <c r="E31" s="6">
        <f>D31-C31</f>
        <v>300</v>
      </c>
      <c r="F31" s="1"/>
      <c r="Q31"/>
      <c r="R31"/>
      <c r="S31"/>
      <c r="T31"/>
    </row>
    <row r="32" spans="1:22" hidden="1" outlineLevel="2">
      <c r="A32" s="22"/>
      <c r="B32" s="5" t="s">
        <v>4</v>
      </c>
      <c r="C32" s="5">
        <v>701</v>
      </c>
      <c r="D32" s="5">
        <v>842</v>
      </c>
      <c r="E32" s="6">
        <f>D32-C32</f>
        <v>141</v>
      </c>
      <c r="F32" s="1"/>
      <c r="Q32"/>
      <c r="R32"/>
      <c r="S32"/>
      <c r="T32"/>
    </row>
    <row r="33" spans="1:20" hidden="1" outlineLevel="2">
      <c r="A33" s="22"/>
      <c r="B33" s="5" t="s">
        <v>5</v>
      </c>
      <c r="C33" s="5">
        <v>469</v>
      </c>
      <c r="D33" s="5">
        <v>789</v>
      </c>
      <c r="E33" s="6">
        <f>D33-C33</f>
        <v>320</v>
      </c>
      <c r="F33" s="1"/>
      <c r="Q33"/>
      <c r="R33"/>
      <c r="S33"/>
      <c r="T33"/>
    </row>
    <row r="34" spans="1:20" hidden="1" outlineLevel="2">
      <c r="A34" s="22"/>
      <c r="B34" s="5" t="s">
        <v>6</v>
      </c>
      <c r="C34" s="5">
        <v>976</v>
      </c>
      <c r="D34" s="5">
        <v>1654</v>
      </c>
      <c r="E34" s="6">
        <f>D34-C34</f>
        <v>678</v>
      </c>
      <c r="F34" s="1"/>
      <c r="Q34"/>
      <c r="R34"/>
      <c r="S34"/>
      <c r="T34"/>
    </row>
    <row r="35" spans="1:20" hidden="1" outlineLevel="1" collapsed="1">
      <c r="A35" s="21"/>
      <c r="B35" s="23" t="s">
        <v>7</v>
      </c>
      <c r="C35" s="24">
        <f>SUM(C31:C34)</f>
        <v>2346</v>
      </c>
      <c r="D35" s="24">
        <f>SUM(D31:D34)</f>
        <v>3785</v>
      </c>
      <c r="E35" s="25">
        <f>SUM(E31:E34)</f>
        <v>1439</v>
      </c>
      <c r="F35" s="1"/>
      <c r="Q35"/>
      <c r="R35"/>
      <c r="S35"/>
      <c r="T35"/>
    </row>
    <row r="36" spans="1:20" hidden="1" outlineLevel="2">
      <c r="A36" s="22"/>
      <c r="B36" s="5" t="s">
        <v>8</v>
      </c>
      <c r="C36" s="5">
        <v>455</v>
      </c>
      <c r="D36" s="5">
        <v>2156</v>
      </c>
      <c r="E36" s="6">
        <f>D36-C36</f>
        <v>1701</v>
      </c>
      <c r="F36" s="1"/>
      <c r="Q36"/>
      <c r="R36"/>
      <c r="S36"/>
      <c r="T36"/>
    </row>
    <row r="37" spans="1:20" hidden="1" outlineLevel="2">
      <c r="A37" s="22"/>
      <c r="B37" s="5" t="s">
        <v>9</v>
      </c>
      <c r="C37" s="5">
        <v>590</v>
      </c>
      <c r="D37" s="5">
        <v>596</v>
      </c>
      <c r="E37" s="6">
        <f>D37-C37</f>
        <v>6</v>
      </c>
      <c r="F37" s="1"/>
      <c r="Q37"/>
      <c r="R37"/>
      <c r="S37"/>
      <c r="T37"/>
    </row>
    <row r="38" spans="1:20" hidden="1" outlineLevel="2">
      <c r="A38" s="22"/>
      <c r="B38" s="5" t="s">
        <v>10</v>
      </c>
      <c r="C38" s="5">
        <v>707</v>
      </c>
      <c r="D38" s="5">
        <v>717</v>
      </c>
      <c r="E38" s="6">
        <f>D38-C38</f>
        <v>10</v>
      </c>
      <c r="F38" s="1"/>
      <c r="Q38"/>
      <c r="R38"/>
      <c r="S38"/>
      <c r="T38"/>
    </row>
    <row r="39" spans="1:20" hidden="1" outlineLevel="2">
      <c r="A39" s="22"/>
      <c r="B39" s="5" t="s">
        <v>11</v>
      </c>
      <c r="C39" s="5">
        <v>796</v>
      </c>
      <c r="D39" s="5">
        <v>945</v>
      </c>
      <c r="E39" s="6">
        <f>D39-C39</f>
        <v>149</v>
      </c>
      <c r="F39" s="1"/>
      <c r="Q39"/>
      <c r="R39"/>
      <c r="S39"/>
      <c r="T39"/>
    </row>
    <row r="40" spans="1:20" hidden="1" outlineLevel="1" collapsed="1">
      <c r="A40" s="21"/>
      <c r="B40" s="23" t="s">
        <v>12</v>
      </c>
      <c r="C40" s="24">
        <f>SUM(C36:C39)</f>
        <v>2548</v>
      </c>
      <c r="D40" s="24">
        <f>SUM(D36:D39)</f>
        <v>4414</v>
      </c>
      <c r="E40" s="25">
        <f>SUM(E36:E39)</f>
        <v>1866</v>
      </c>
      <c r="F40" s="1"/>
      <c r="Q40"/>
      <c r="R40"/>
      <c r="S40"/>
      <c r="T40"/>
    </row>
    <row r="41" spans="1:20" hidden="1" outlineLevel="2">
      <c r="A41" s="22"/>
      <c r="B41" s="5" t="s">
        <v>13</v>
      </c>
      <c r="C41" s="5">
        <v>686</v>
      </c>
      <c r="D41" s="5">
        <v>1678</v>
      </c>
      <c r="E41" s="6">
        <f>D41-C41</f>
        <v>992</v>
      </c>
      <c r="F41" s="1"/>
      <c r="Q41"/>
      <c r="R41"/>
      <c r="S41"/>
      <c r="T41"/>
    </row>
    <row r="42" spans="1:20" hidden="1" outlineLevel="2">
      <c r="A42" s="22"/>
      <c r="B42" s="5" t="s">
        <v>14</v>
      </c>
      <c r="C42" s="5">
        <v>376</v>
      </c>
      <c r="D42" s="5">
        <v>450</v>
      </c>
      <c r="E42" s="6">
        <f>D42-C42</f>
        <v>74</v>
      </c>
      <c r="F42" s="1"/>
      <c r="Q42"/>
      <c r="R42"/>
      <c r="S42"/>
      <c r="T42"/>
    </row>
    <row r="43" spans="1:20" hidden="1" outlineLevel="2">
      <c r="A43" s="22"/>
      <c r="B43" s="5" t="s">
        <v>15</v>
      </c>
      <c r="C43" s="5">
        <v>677</v>
      </c>
      <c r="D43" s="5">
        <v>739</v>
      </c>
      <c r="E43" s="6">
        <f>D43-C43</f>
        <v>62</v>
      </c>
      <c r="F43" s="1"/>
      <c r="Q43"/>
      <c r="R43"/>
      <c r="S43"/>
      <c r="T43"/>
    </row>
    <row r="44" spans="1:20" hidden="1" outlineLevel="2">
      <c r="A44" s="22"/>
      <c r="B44" s="5" t="s">
        <v>16</v>
      </c>
      <c r="C44" s="5">
        <v>402</v>
      </c>
      <c r="D44" s="5">
        <v>876</v>
      </c>
      <c r="E44" s="6">
        <f>D44-C44</f>
        <v>474</v>
      </c>
      <c r="F44" s="1"/>
      <c r="Q44"/>
      <c r="R44"/>
      <c r="S44"/>
      <c r="T44"/>
    </row>
    <row r="45" spans="1:20" hidden="1" outlineLevel="1" collapsed="1">
      <c r="A45" s="21"/>
      <c r="B45" s="31" t="s">
        <v>17</v>
      </c>
      <c r="C45" s="32">
        <f>SUM(C41:C44)</f>
        <v>2141</v>
      </c>
      <c r="D45" s="32">
        <f>SUM(D41:D44)</f>
        <v>3743</v>
      </c>
      <c r="E45" s="33">
        <f>SUM(E41:E44)</f>
        <v>1602</v>
      </c>
      <c r="F45" s="1"/>
      <c r="Q45"/>
      <c r="R45"/>
      <c r="S45"/>
      <c r="T45"/>
    </row>
    <row r="46" spans="1:20" ht="18.75" collapsed="1">
      <c r="A46" s="26" t="s">
        <v>2</v>
      </c>
      <c r="B46" s="27"/>
      <c r="C46" s="28">
        <f>SUM(C35,C40,C45)</f>
        <v>7035</v>
      </c>
      <c r="D46" s="28">
        <f>SUM(D35,D40,D45)</f>
        <v>11942</v>
      </c>
      <c r="E46" s="29">
        <f>SUM(E35,E40,E45)</f>
        <v>4907</v>
      </c>
      <c r="F46" s="1"/>
      <c r="Q46"/>
      <c r="R46"/>
      <c r="S46"/>
      <c r="T46"/>
    </row>
  </sheetData>
  <mergeCells count="4">
    <mergeCell ref="A13:A28"/>
    <mergeCell ref="A30:A45"/>
    <mergeCell ref="K2:U2"/>
    <mergeCell ref="X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2025-10-21T10:40:07Z</dcterms:created>
  <dcterms:modified xsi:type="dcterms:W3CDTF">2025-10-21T11:34:29Z</dcterms:modified>
  <cp:category/>
  <cp:contentStatus/>
</cp:coreProperties>
</file>