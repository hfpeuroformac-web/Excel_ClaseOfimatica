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15"/>
  <workbookPr/>
  <xr:revisionPtr revIDLastSave="0" documentId="8_{A31DD286-05D6-452F-992A-166DE0413BF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F4" i="1"/>
  <c r="F5" i="1"/>
  <c r="F6" i="1"/>
  <c r="F7" i="1"/>
  <c r="F8" i="1"/>
  <c r="F9" i="1"/>
  <c r="F3" i="1"/>
  <c r="C4" i="1"/>
  <c r="C5" i="1"/>
  <c r="C6" i="1"/>
  <c r="C7" i="1"/>
  <c r="C8" i="1"/>
  <c r="C9" i="1"/>
  <c r="C3" i="1"/>
  <c r="E3" i="1"/>
  <c r="D4" i="1"/>
  <c r="D5" i="1"/>
  <c r="D6" i="1"/>
  <c r="D7" i="1"/>
  <c r="D8" i="1"/>
  <c r="D9" i="1"/>
  <c r="D3" i="1"/>
  <c r="E9" i="1"/>
  <c r="E4" i="1"/>
  <c r="E5" i="1"/>
  <c r="E6" i="1"/>
  <c r="E7" i="1"/>
  <c r="E8" i="1"/>
</calcChain>
</file>

<file path=xl/sharedStrings.xml><?xml version="1.0" encoding="utf-8"?>
<sst xmlns="http://schemas.openxmlformats.org/spreadsheetml/2006/main" count="17" uniqueCount="17">
  <si>
    <t>Fechas</t>
  </si>
  <si>
    <t>Nombre</t>
  </si>
  <si>
    <t>Días Fechas</t>
  </si>
  <si>
    <t>Meses Fechas</t>
  </si>
  <si>
    <t>Años Fechas</t>
  </si>
  <si>
    <t>Nombre y fechas</t>
  </si>
  <si>
    <t xml:space="preserve">Valor </t>
  </si>
  <si>
    <t>Cantidad</t>
  </si>
  <si>
    <t>Cadena valor x cant</t>
  </si>
  <si>
    <t>Juan</t>
  </si>
  <si>
    <t>Sonia</t>
  </si>
  <si>
    <t>Sofia</t>
  </si>
  <si>
    <t>09/03/2021</t>
  </si>
  <si>
    <t>Emilio</t>
  </si>
  <si>
    <t>Eduardo</t>
  </si>
  <si>
    <t>Anita</t>
  </si>
  <si>
    <t>Lorena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</si>
</sst>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" fontId="0" fillId="0" borderId="0" xfId="0" quotePrefix="1" applyNumberFormat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2">
    <dxf>
      <font>
        <color rgb="FFFF0000"/>
      </font>
    </dxf>
    <dxf>
      <font>
        <color rgb="FF00B050"/>
      </font>
    </dxf>
  </dxfs>
  <tableStyles count="0" defaultTableStyle="TableStyleMedium2" defaultPivotStyle="PivotStyleMedium9"/>
  <colors>
    <mruColors>
      <color rgb="FFFF8A8A"/>
      <color rgb="FFFF636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9"/>
  <sheetViews>
    <sheetView tabSelected="1" workbookViewId="0">
      <selection activeCell="H5" sqref="H5"/>
    </sheetView>
  </sheetViews>
  <sheetFormatPr defaultRowHeight="15"/>
  <cols>
    <col min="1" max="1" width="11.140625" bestFit="1" customWidth="1"/>
    <col min="2" max="2" width="8.140625" bestFit="1" customWidth="1"/>
    <col min="3" max="3" width="11.5703125" bestFit="1" customWidth="1"/>
    <col min="4" max="4" width="13.42578125" bestFit="1" customWidth="1"/>
    <col min="5" max="5" width="12" bestFit="1" customWidth="1"/>
    <col min="6" max="6" width="37.28515625" bestFit="1" customWidth="1"/>
    <col min="7" max="7" width="6" bestFit="1" customWidth="1"/>
    <col min="8" max="8" width="9" bestFit="1" customWidth="1"/>
    <col min="9" max="9" width="25.28515625" bestFit="1" customWidth="1"/>
  </cols>
  <sheetData>
    <row r="2" spans="1:9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</row>
    <row r="3" spans="1:9">
      <c r="A3" s="1">
        <v>35023</v>
      </c>
      <c r="B3" s="2" t="s">
        <v>9</v>
      </c>
      <c r="C3" s="2" t="str">
        <f>TEXT(A3,"DD")</f>
        <v>20</v>
      </c>
      <c r="D3" s="2" t="str">
        <f>TEXT(A3,"MMMM")</f>
        <v>noviembre</v>
      </c>
      <c r="E3" s="2" t="str">
        <f>TEXT(A3,"AAAA")</f>
        <v>1995</v>
      </c>
      <c r="F3" s="2" t="str">
        <f>B3&amp;" nació el "&amp;TEXT(A3,"DD/MM/AAAA")</f>
        <v>Juan nació el 20/11/1995</v>
      </c>
      <c r="G3" s="2">
        <v>889</v>
      </c>
      <c r="H3" s="2">
        <v>54</v>
      </c>
      <c r="I3" s="2" t="str">
        <f>B3&amp;" ganó "&amp;TEXT(G3*H3,"[&gt;40000]#.##,00€ ▲;#.##,00€ ▼")</f>
        <v>Juan ganó 48.006,00€ ▲</v>
      </c>
    </row>
    <row r="4" spans="1:9">
      <c r="A4" s="1">
        <v>40852</v>
      </c>
      <c r="B4" s="2" t="s">
        <v>10</v>
      </c>
      <c r="C4" s="2" t="str">
        <f t="shared" ref="C4:C9" si="0">TEXT(A4,"DD")</f>
        <v>05</v>
      </c>
      <c r="D4" s="2" t="str">
        <f t="shared" ref="D4:D9" si="1">TEXT(A4,"MMMM")</f>
        <v>noviembre</v>
      </c>
      <c r="E4" s="2" t="str">
        <f t="shared" ref="E4:E9" si="2">TEXT(A4,"AAAA")</f>
        <v>2011</v>
      </c>
      <c r="F4" s="2" t="str">
        <f t="shared" ref="F4:F9" si="3">B4&amp;" nació el "&amp;TEXT(A4,"DD/MM/AAAA")</f>
        <v>Sonia nació el 05/11/2011</v>
      </c>
      <c r="G4" s="2">
        <v>671</v>
      </c>
      <c r="H4" s="2">
        <v>56</v>
      </c>
      <c r="I4" s="2" t="str">
        <f t="shared" ref="I4:I9" si="4">B4&amp;" ganó "&amp;TEXT(G4*H4,"[&gt;40000]#.##,00€ ▲;#.##,00€ ▼")</f>
        <v>Sonia ganó 37.576,00€ ▼</v>
      </c>
    </row>
    <row r="5" spans="1:9">
      <c r="A5" s="1">
        <v>43438</v>
      </c>
      <c r="B5" s="2" t="s">
        <v>11</v>
      </c>
      <c r="C5" s="2" t="str">
        <f t="shared" si="0"/>
        <v>04</v>
      </c>
      <c r="D5" s="2" t="str">
        <f t="shared" si="1"/>
        <v>diciembre</v>
      </c>
      <c r="E5" s="2" t="str">
        <f t="shared" si="2"/>
        <v>2018</v>
      </c>
      <c r="F5" s="2" t="str">
        <f t="shared" si="3"/>
        <v>Sofia nació el 04/12/2018</v>
      </c>
      <c r="G5" s="2">
        <v>123</v>
      </c>
      <c r="H5" s="2">
        <v>87</v>
      </c>
      <c r="I5" s="2" t="str">
        <f t="shared" si="4"/>
        <v>Sofia ganó 10.701,00€ ▼</v>
      </c>
    </row>
    <row r="6" spans="1:9">
      <c r="A6" s="3" t="s">
        <v>12</v>
      </c>
      <c r="B6" s="2" t="s">
        <v>13</v>
      </c>
      <c r="C6" s="2" t="str">
        <f t="shared" si="0"/>
        <v>09</v>
      </c>
      <c r="D6" s="2" t="str">
        <f t="shared" si="1"/>
        <v>marzo</v>
      </c>
      <c r="E6" s="2" t="str">
        <f t="shared" si="2"/>
        <v>2021</v>
      </c>
      <c r="F6" s="2" t="str">
        <f t="shared" si="3"/>
        <v>Emilio nació el 09/03/2021</v>
      </c>
      <c r="G6" s="2">
        <v>934</v>
      </c>
      <c r="H6" s="2">
        <v>45</v>
      </c>
      <c r="I6" s="2" t="str">
        <f t="shared" si="4"/>
        <v>Emilio ganó 42.030,00€ ▲</v>
      </c>
    </row>
    <row r="7" spans="1:9">
      <c r="A7" s="1">
        <v>37432</v>
      </c>
      <c r="B7" s="2" t="s">
        <v>14</v>
      </c>
      <c r="C7" s="2" t="str">
        <f t="shared" si="0"/>
        <v>25</v>
      </c>
      <c r="D7" s="2" t="str">
        <f t="shared" si="1"/>
        <v>junio</v>
      </c>
      <c r="E7" s="2" t="str">
        <f t="shared" si="2"/>
        <v>2002</v>
      </c>
      <c r="F7" s="2" t="str">
        <f t="shared" si="3"/>
        <v>Eduardo nació el 25/06/2002</v>
      </c>
      <c r="G7" s="2">
        <v>921</v>
      </c>
      <c r="H7" s="2">
        <v>93</v>
      </c>
      <c r="I7" s="2" t="str">
        <f t="shared" si="4"/>
        <v>Eduardo ganó 85.653,00€ ▲</v>
      </c>
    </row>
    <row r="8" spans="1:9">
      <c r="A8" s="1">
        <v>38090</v>
      </c>
      <c r="B8" s="2" t="s">
        <v>15</v>
      </c>
      <c r="C8" s="2" t="str">
        <f t="shared" si="0"/>
        <v>13</v>
      </c>
      <c r="D8" s="2" t="str">
        <f t="shared" si="1"/>
        <v>abril</v>
      </c>
      <c r="E8" s="2" t="str">
        <f t="shared" si="2"/>
        <v>2004</v>
      </c>
      <c r="F8" s="2" t="str">
        <f t="shared" si="3"/>
        <v>Anita nació el 13/04/2004</v>
      </c>
      <c r="G8" s="2">
        <v>420</v>
      </c>
      <c r="H8" s="2">
        <v>65</v>
      </c>
      <c r="I8" s="2" t="str">
        <f t="shared" si="4"/>
        <v>Anita ganó 27.300,00€ ▼</v>
      </c>
    </row>
    <row r="9" spans="1:9">
      <c r="A9" s="1">
        <v>38035</v>
      </c>
      <c r="B9" s="2" t="s">
        <v>16</v>
      </c>
      <c r="C9" s="2" t="str">
        <f t="shared" si="0"/>
        <v>18</v>
      </c>
      <c r="D9" s="2" t="str">
        <f t="shared" si="1"/>
        <v>febrero</v>
      </c>
      <c r="E9" s="2" t="str">
        <f>TEXT(A9,"AAAA")</f>
        <v>2004</v>
      </c>
      <c r="F9" s="2" t="str">
        <f t="shared" si="3"/>
        <v>Lorena nació el 18/02/2004</v>
      </c>
      <c r="G9" s="2">
        <v>846</v>
      </c>
      <c r="H9" s="2">
        <v>97</v>
      </c>
      <c r="I9" s="2" t="str">
        <f t="shared" si="4"/>
        <v>Lorena ganó 82.062,00€ ▲</v>
      </c>
    </row>
  </sheetData>
  <conditionalFormatting sqref="I3:I9">
    <cfRule type="expression" dxfId="1" priority="3">
      <formula>G3*H3&gt;40000</formula>
    </cfRule>
  </conditionalFormatting>
  <conditionalFormatting sqref="I3:I9">
    <cfRule type="expression" dxfId="0" priority="2">
      <formula>G3*H3&lt;=40000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2025-10-20T07:34:22Z</dcterms:created>
  <dcterms:modified xsi:type="dcterms:W3CDTF">2025-10-20T09:35:30Z</dcterms:modified>
  <cp:category/>
  <cp:contentStatus/>
</cp:coreProperties>
</file>