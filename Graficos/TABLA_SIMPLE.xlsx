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ie17_Mañana\APUNTES HUGO POZA\Excel_ClaseOfimática\"/>
    </mc:Choice>
  </mc:AlternateContent>
  <xr:revisionPtr revIDLastSave="0" documentId="13_ncr:1_{A17A7714-7489-4634-AB86-82AD85E6737F}" xr6:coauthVersionLast="47" xr6:coauthVersionMax="47" xr10:uidLastSave="{00000000-0000-0000-0000-000000000000}"/>
  <bookViews>
    <workbookView xWindow="-120" yWindow="-120" windowWidth="29040" windowHeight="15720" xr2:uid="{9B8943F2-9ED7-4123-8B8D-D60C6927441B}"/>
  </bookViews>
  <sheets>
    <sheet name="Hoja1" sheetId="1" r:id="rId1"/>
  </sheets>
  <definedNames>
    <definedName name="DCTO">(100-Hoja1!$P$21)/100</definedName>
    <definedName name="SegmentaciónDeDatos_FORMA_DE_PAG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P25" i="1"/>
  <c r="P26" i="1"/>
  <c r="P27" i="1"/>
  <c r="P28" i="1"/>
  <c r="P2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J16" i="1" l="1"/>
</calcChain>
</file>

<file path=xl/sharedStrings.xml><?xml version="1.0" encoding="utf-8"?>
<sst xmlns="http://schemas.openxmlformats.org/spreadsheetml/2006/main" count="69" uniqueCount="32">
  <si>
    <t>FECHA</t>
  </si>
  <si>
    <t>ID CLIENTE</t>
  </si>
  <si>
    <t>PROVINCIA</t>
  </si>
  <si>
    <t>VENDEDOR</t>
  </si>
  <si>
    <t>FORMA DE PAGO</t>
  </si>
  <si>
    <t>PRODUCTO</t>
  </si>
  <si>
    <t>CATEGORIA</t>
  </si>
  <si>
    <t>PRECIO</t>
  </si>
  <si>
    <t>CANTIDAD</t>
  </si>
  <si>
    <t>VENTAS</t>
  </si>
  <si>
    <t>MADRID</t>
  </si>
  <si>
    <t>BARCELONA</t>
  </si>
  <si>
    <t>VALLADOLID</t>
  </si>
  <si>
    <t>BADAJOZ</t>
  </si>
  <si>
    <t>CASTELLON</t>
  </si>
  <si>
    <t>PONTEVEDRA</t>
  </si>
  <si>
    <t>SANXENXO</t>
  </si>
  <si>
    <t>JOSE RAMON</t>
  </si>
  <si>
    <t>HUGO</t>
  </si>
  <si>
    <t>MATEO</t>
  </si>
  <si>
    <t>RAUL</t>
  </si>
  <si>
    <t>JOSE</t>
  </si>
  <si>
    <t>SHARP</t>
  </si>
  <si>
    <t>MIGUEL</t>
  </si>
  <si>
    <t>IVAN</t>
  </si>
  <si>
    <t>TOSTADORA</t>
  </si>
  <si>
    <t>PATINETE</t>
  </si>
  <si>
    <t>TELEVISION</t>
  </si>
  <si>
    <t>ELECRODOMESTICOS</t>
  </si>
  <si>
    <t>VEHICULO</t>
  </si>
  <si>
    <t>TOTAL</t>
  </si>
  <si>
    <t xml:space="preserve">DCTO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</si>
</sst>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4" tint="0.39994506668294322"/>
      </top>
      <bottom style="medium">
        <color theme="4" tint="0.3999450666829432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medium">
        <color theme="4" tint="0.39994506668294322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165" fontId="0" fillId="0" borderId="0" xfId="0" applyNumberFormat="1"/>
    <xf numFmtId="0" fontId="3" fillId="0" borderId="0" xfId="0" applyFont="1"/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0" xfId="0" applyBorder="1"/>
    <xf numFmtId="165" fontId="0" fillId="0" borderId="0" xfId="0" applyNumberFormat="1" applyBorder="1"/>
    <xf numFmtId="14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5" fontId="0" fillId="3" borderId="1" xfId="0" applyNumberFormat="1" applyFill="1" applyBorder="1"/>
    <xf numFmtId="0" fontId="1" fillId="2" borderId="2" xfId="0" applyFont="1" applyFill="1" applyBorder="1"/>
    <xf numFmtId="165" fontId="1" fillId="2" borderId="2" xfId="0" applyNumberFormat="1" applyFont="1" applyFill="1" applyBorder="1"/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5" fontId="0" fillId="0" borderId="3" xfId="0" applyNumberFormat="1" applyBorder="1"/>
    <xf numFmtId="0" fontId="2" fillId="0" borderId="5" xfId="0" applyFont="1" applyBorder="1" applyAlignment="1">
      <alignment horizontal="center"/>
    </xf>
    <xf numFmtId="0" fontId="0" fillId="0" borderId="6" xfId="0" applyBorder="1" applyAlignment="1"/>
    <xf numFmtId="0" fontId="0" fillId="0" borderId="7" xfId="0" applyBorder="1" applyAlignment="1"/>
    <xf numFmtId="165" fontId="0" fillId="0" borderId="4" xfId="0" applyNumberFormat="1" applyBorder="1"/>
    <xf numFmtId="165" fontId="0" fillId="0" borderId="0" xfId="0" applyNumberFormat="1" applyAlignment="1">
      <alignment horizontal="right"/>
    </xf>
    <xf numFmtId="0" fontId="0" fillId="0" borderId="0" xfId="0" applyBorder="1" applyAlignment="1">
      <alignment horizontal="left"/>
    </xf>
    <xf numFmtId="0" fontId="0" fillId="4" borderId="0" xfId="0" applyFont="1" applyFill="1" applyBorder="1" applyProtection="1">
      <protection locked="0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</dxf>
    <dxf>
      <numFmt numFmtId="165" formatCode="#,##0.00\ &quot;€&quot;"/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numFmt numFmtId="165" formatCode="#,##0.00\ &quot;€&quot;"/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numFmt numFmtId="19" formatCode="dd/mm/yyyy"/>
      <border diagonalUp="0" diagonalDown="0">
        <left/>
        <right/>
        <top style="medium">
          <color theme="4" tint="0.39994506668294322"/>
        </top>
        <bottom style="medium">
          <color theme="4" tint="0.39994506668294322"/>
        </bottom>
        <vertical/>
        <horizontal/>
      </border>
    </dxf>
    <dxf>
      <border outline="0">
        <top style="medium">
          <color theme="4" tint="0.39994506668294322"/>
        </top>
      </border>
    </dxf>
    <dxf>
      <border outline="0">
        <bottom style="medium">
          <color theme="4" tint="0.39994506668294322"/>
        </bottom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medium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180975</xdr:colOff>
      <xdr:row>4</xdr:row>
      <xdr:rowOff>152400</xdr:rowOff>
    </xdr:from>
    <xdr:to>
      <xdr:col>13</xdr:col>
      <xdr:colOff>76200</xdr:colOff>
      <xdr:row>12</xdr:row>
      <xdr:rowOff>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FORMA DE PAGO">
              <a:extLst>
                <a:ext uri="{FF2B5EF4-FFF2-40B4-BE49-F238E27FC236}">
                  <a16:creationId xmlns:a16="http://schemas.microsoft.com/office/drawing/2014/main" id="{DE7E2B87-4C61-5806-544A-223AEEBF55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3525" y="952500"/>
              <a:ext cx="1790700" cy="1447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ORMA_DE_PAGO" xr10:uid="{B66E8FC6-F911-4531-A686-58CA00BC50CE}" sourceName="FORMA DE PAGO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MA DE PAGO" xr10:uid="{0E65F4C7-2AB2-4027-A314-F1365EB1E63C}" cache="SegmentaciónDeDatos_FORMA_DE_PAGO" caption="FORMA DE PAG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12C30-8677-4AEC-B34D-4582984119E1}" name="VENTAS" displayName="VENTAS" ref="A1:J15" totalsRowShown="0" headerRowDxfId="0" headerRowBorderDxfId="12" tableBorderDxfId="13" totalsRowBorderDxfId="11">
  <autoFilter ref="A1:J15" xr:uid="{58112C30-8677-4AEC-B34D-4582984119E1}"/>
  <tableColumns count="10">
    <tableColumn id="1" xr3:uid="{117E0637-C77C-4CF9-A1AE-F63CDF2E025A}" name="FECHA" dataDxfId="10"/>
    <tableColumn id="2" xr3:uid="{3259623F-16D9-487F-B5C1-95A2469A3EB6}" name="ID CLIENTE" dataDxfId="9"/>
    <tableColumn id="3" xr3:uid="{82FE3725-3B01-4A8A-9FE6-CAEE9F3BB139}" name="PROVINCIA" dataDxfId="8"/>
    <tableColumn id="4" xr3:uid="{82D6A1B3-24D5-4914-8D6B-9F3F84E9DC1E}" name="VENDEDOR" dataDxfId="7"/>
    <tableColumn id="5" xr3:uid="{17F4A8CB-4C55-4F79-8FF2-CA5EFA239158}" name="FORMA DE PAGO" dataDxfId="6">
      <calculatedColumnFormula>IF(B21=1,"CHEQUE",IF(B21=2,"TARJETA",IF(B21=3,"EFECTIVO")))</calculatedColumnFormula>
    </tableColumn>
    <tableColumn id="6" xr3:uid="{E72F6249-99DD-4582-A2F5-F56402EA0D7A}" name="PRODUCTO" dataDxfId="5"/>
    <tableColumn id="7" xr3:uid="{F57EFDC1-CB5F-4E43-922A-3025C537D884}" name="CATEGORIA" dataDxfId="4"/>
    <tableColumn id="8" xr3:uid="{2A641E2C-FB98-4CB7-87B2-9CE44EBA9852}" name="PRECIO" dataDxfId="3"/>
    <tableColumn id="9" xr3:uid="{399AE8B7-7876-4B24-B53B-03EB1BA4E4B0}" name="CANTIDAD" dataDxfId="2"/>
    <tableColumn id="10" xr3:uid="{809B62AC-D10D-4A75-9909-032A757EB083}" name="VENTAS" dataDxfId="1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EDF7-C7AC-458E-8244-3B7762F1562C}">
  <dimension ref="A1:P34"/>
  <sheetViews>
    <sheetView tabSelected="1" workbookViewId="0">
      <selection activeCell="N8" sqref="N8"/>
    </sheetView>
  </sheetViews>
  <sheetFormatPr baseColWidth="10" defaultRowHeight="15" x14ac:dyDescent="0.25"/>
  <cols>
    <col min="1" max="1" width="10.42578125" bestFit="1" customWidth="1"/>
    <col min="2" max="3" width="13.28515625" customWidth="1"/>
    <col min="4" max="4" width="13.5703125" customWidth="1"/>
    <col min="5" max="5" width="18.140625" customWidth="1"/>
    <col min="6" max="6" width="13.5703125" customWidth="1"/>
    <col min="7" max="7" width="19.140625" bestFit="1" customWidth="1"/>
    <col min="8" max="8" width="10.28515625" style="2" bestFit="1" customWidth="1"/>
    <col min="9" max="9" width="12.7109375" customWidth="1"/>
    <col min="10" max="10" width="10.140625" style="2" customWidth="1"/>
    <col min="11" max="11" width="5.5703125" customWidth="1"/>
    <col min="15" max="15" width="10" bestFit="1" customWidth="1"/>
    <col min="16" max="16" width="15.140625" bestFit="1" customWidth="1"/>
  </cols>
  <sheetData>
    <row r="1" spans="1:13" ht="15.75" thickBo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5" t="s">
        <v>9</v>
      </c>
      <c r="K1" s="1"/>
      <c r="L1" s="1" t="s">
        <v>1</v>
      </c>
    </row>
    <row r="2" spans="1:13" ht="15.75" thickBot="1" x14ac:dyDescent="0.3">
      <c r="A2" s="10">
        <v>44348</v>
      </c>
      <c r="B2" s="11">
        <v>9179619448</v>
      </c>
      <c r="C2" s="11" t="s">
        <v>10</v>
      </c>
      <c r="D2" s="11" t="s">
        <v>17</v>
      </c>
      <c r="E2" s="12" t="str">
        <f>IF(B21=1,"CHEQUE",IF(B21=2,"TARJETA",IF(B21=3,"EFECTIVO")))</f>
        <v>CHEQUE</v>
      </c>
      <c r="F2" s="11" t="s">
        <v>25</v>
      </c>
      <c r="G2" s="11" t="s">
        <v>28</v>
      </c>
      <c r="H2" s="13">
        <v>95</v>
      </c>
      <c r="I2" s="11">
        <v>1</v>
      </c>
      <c r="J2" s="13">
        <f>H2*I2</f>
        <v>95</v>
      </c>
      <c r="L2" s="26">
        <v>4586577611</v>
      </c>
      <c r="M2" t="str">
        <f>_xlfn.XLOOKUP(L2,VENTAS[ID CLIENTE],VENTAS[VENDEDOR],"ESA ID NO EXISTE")</f>
        <v>JOSE</v>
      </c>
    </row>
    <row r="3" spans="1:13" ht="15.75" thickBot="1" x14ac:dyDescent="0.3">
      <c r="A3" s="4">
        <v>44349</v>
      </c>
      <c r="B3" s="5">
        <v>4978600664</v>
      </c>
      <c r="C3" s="5" t="s">
        <v>11</v>
      </c>
      <c r="D3" s="5" t="s">
        <v>18</v>
      </c>
      <c r="E3" s="6" t="str">
        <f t="shared" ref="E3:E15" si="0">IF(B22=1,"CHEQUE",IF(B22=2,"TARJETA",IF(B22=3,"EFECTIVO")))</f>
        <v>TARJETA</v>
      </c>
      <c r="F3" s="5" t="s">
        <v>26</v>
      </c>
      <c r="G3" s="5" t="s">
        <v>29</v>
      </c>
      <c r="H3" s="7">
        <v>162</v>
      </c>
      <c r="I3" s="5">
        <v>3</v>
      </c>
      <c r="J3" s="7">
        <f t="shared" ref="J3:J15" si="1">H3*I3</f>
        <v>486</v>
      </c>
    </row>
    <row r="4" spans="1:13" ht="15.75" thickBot="1" x14ac:dyDescent="0.3">
      <c r="A4" s="10">
        <v>44350</v>
      </c>
      <c r="B4" s="11">
        <v>4842243649</v>
      </c>
      <c r="C4" s="11" t="s">
        <v>12</v>
      </c>
      <c r="D4" s="11" t="s">
        <v>19</v>
      </c>
      <c r="E4" s="12" t="str">
        <f t="shared" si="0"/>
        <v>EFECTIVO</v>
      </c>
      <c r="F4" s="11" t="s">
        <v>27</v>
      </c>
      <c r="G4" s="11" t="s">
        <v>28</v>
      </c>
      <c r="H4" s="13">
        <v>196</v>
      </c>
      <c r="I4" s="11">
        <v>4</v>
      </c>
      <c r="J4" s="13">
        <f t="shared" si="1"/>
        <v>784</v>
      </c>
    </row>
    <row r="5" spans="1:13" ht="15.75" thickBot="1" x14ac:dyDescent="0.3">
      <c r="A5" s="4">
        <v>44351</v>
      </c>
      <c r="B5" s="5">
        <v>2875205942</v>
      </c>
      <c r="C5" s="5" t="s">
        <v>13</v>
      </c>
      <c r="D5" s="5" t="s">
        <v>20</v>
      </c>
      <c r="E5" s="6" t="str">
        <f t="shared" si="0"/>
        <v>TARJETA</v>
      </c>
      <c r="F5" s="5" t="s">
        <v>25</v>
      </c>
      <c r="G5" s="5" t="s">
        <v>28</v>
      </c>
      <c r="H5" s="7">
        <v>182</v>
      </c>
      <c r="I5" s="5">
        <v>1</v>
      </c>
      <c r="J5" s="7">
        <f t="shared" si="1"/>
        <v>182</v>
      </c>
    </row>
    <row r="6" spans="1:13" ht="15.75" thickBot="1" x14ac:dyDescent="0.3">
      <c r="A6" s="10">
        <v>44352</v>
      </c>
      <c r="B6" s="11">
        <v>4586577611</v>
      </c>
      <c r="C6" s="13" t="s">
        <v>14</v>
      </c>
      <c r="D6" s="11" t="s">
        <v>21</v>
      </c>
      <c r="E6" s="12" t="str">
        <f t="shared" si="0"/>
        <v>CHEQUE</v>
      </c>
      <c r="F6" s="11" t="s">
        <v>26</v>
      </c>
      <c r="G6" s="11" t="s">
        <v>29</v>
      </c>
      <c r="H6" s="13">
        <v>79</v>
      </c>
      <c r="I6" s="11">
        <v>5</v>
      </c>
      <c r="J6" s="13">
        <f t="shared" si="1"/>
        <v>395</v>
      </c>
    </row>
    <row r="7" spans="1:13" ht="15.75" thickBot="1" x14ac:dyDescent="0.3">
      <c r="A7" s="4">
        <v>44353</v>
      </c>
      <c r="B7" s="5">
        <v>6906725520</v>
      </c>
      <c r="C7" s="5" t="s">
        <v>10</v>
      </c>
      <c r="D7" s="5" t="s">
        <v>22</v>
      </c>
      <c r="E7" s="6" t="str">
        <f t="shared" si="0"/>
        <v>TARJETA</v>
      </c>
      <c r="F7" s="5" t="s">
        <v>27</v>
      </c>
      <c r="G7" s="5" t="s">
        <v>28</v>
      </c>
      <c r="H7" s="7">
        <v>49</v>
      </c>
      <c r="I7" s="5">
        <v>6</v>
      </c>
      <c r="J7" s="7">
        <f t="shared" si="1"/>
        <v>294</v>
      </c>
      <c r="L7" s="8"/>
      <c r="M7" s="8"/>
    </row>
    <row r="8" spans="1:13" ht="15.75" thickBot="1" x14ac:dyDescent="0.3">
      <c r="A8" s="10">
        <v>44354</v>
      </c>
      <c r="B8" s="11">
        <v>1349874522</v>
      </c>
      <c r="C8" s="11" t="s">
        <v>15</v>
      </c>
      <c r="D8" s="11" t="s">
        <v>23</v>
      </c>
      <c r="E8" s="12" t="str">
        <f t="shared" si="0"/>
        <v>CHEQUE</v>
      </c>
      <c r="F8" s="11" t="s">
        <v>25</v>
      </c>
      <c r="G8" s="11" t="s">
        <v>28</v>
      </c>
      <c r="H8" s="13">
        <v>134</v>
      </c>
      <c r="I8" s="11">
        <v>2</v>
      </c>
      <c r="J8" s="13">
        <f t="shared" si="1"/>
        <v>268</v>
      </c>
      <c r="L8" s="8"/>
      <c r="M8" s="8"/>
    </row>
    <row r="9" spans="1:13" ht="15.75" thickBot="1" x14ac:dyDescent="0.3">
      <c r="A9" s="4">
        <v>44355</v>
      </c>
      <c r="B9" s="5">
        <v>9316858934</v>
      </c>
      <c r="C9" s="5" t="s">
        <v>16</v>
      </c>
      <c r="D9" s="5" t="s">
        <v>24</v>
      </c>
      <c r="E9" s="6" t="str">
        <f t="shared" si="0"/>
        <v>TARJETA</v>
      </c>
      <c r="F9" s="5" t="s">
        <v>26</v>
      </c>
      <c r="G9" s="5" t="s">
        <v>29</v>
      </c>
      <c r="H9" s="7">
        <v>72</v>
      </c>
      <c r="I9" s="5">
        <v>5</v>
      </c>
      <c r="J9" s="7">
        <f t="shared" si="1"/>
        <v>360</v>
      </c>
      <c r="L9" s="8"/>
      <c r="M9" s="8"/>
    </row>
    <row r="10" spans="1:13" ht="15.75" thickBot="1" x14ac:dyDescent="0.3">
      <c r="A10" s="10">
        <v>44356</v>
      </c>
      <c r="B10" s="11">
        <v>7897731416</v>
      </c>
      <c r="C10" s="11" t="s">
        <v>10</v>
      </c>
      <c r="D10" s="11" t="s">
        <v>17</v>
      </c>
      <c r="E10" s="12" t="str">
        <f t="shared" si="0"/>
        <v>TARJETA</v>
      </c>
      <c r="F10" s="11" t="s">
        <v>27</v>
      </c>
      <c r="G10" s="11" t="s">
        <v>28</v>
      </c>
      <c r="H10" s="13">
        <v>140</v>
      </c>
      <c r="I10" s="11">
        <v>6</v>
      </c>
      <c r="J10" s="13">
        <f t="shared" si="1"/>
        <v>840</v>
      </c>
      <c r="L10" s="8"/>
      <c r="M10" s="8"/>
    </row>
    <row r="11" spans="1:13" ht="15.75" thickBot="1" x14ac:dyDescent="0.3">
      <c r="A11" s="4">
        <v>44357</v>
      </c>
      <c r="B11" s="5">
        <v>3594538489</v>
      </c>
      <c r="C11" s="5" t="s">
        <v>11</v>
      </c>
      <c r="D11" s="5" t="s">
        <v>18</v>
      </c>
      <c r="E11" s="6" t="str">
        <f t="shared" si="0"/>
        <v>CHEQUE</v>
      </c>
      <c r="F11" s="5" t="s">
        <v>25</v>
      </c>
      <c r="G11" s="5" t="s">
        <v>28</v>
      </c>
      <c r="H11" s="7">
        <v>33</v>
      </c>
      <c r="I11" s="5">
        <v>7</v>
      </c>
      <c r="J11" s="7">
        <f t="shared" si="1"/>
        <v>231</v>
      </c>
      <c r="L11" s="8"/>
      <c r="M11" s="8"/>
    </row>
    <row r="12" spans="1:13" ht="15.75" thickBot="1" x14ac:dyDescent="0.3">
      <c r="A12" s="10">
        <v>44358</v>
      </c>
      <c r="B12" s="11">
        <v>6844619764</v>
      </c>
      <c r="C12" s="11" t="s">
        <v>12</v>
      </c>
      <c r="D12" s="11" t="s">
        <v>19</v>
      </c>
      <c r="E12" s="12" t="str">
        <f t="shared" si="0"/>
        <v>EFECTIVO</v>
      </c>
      <c r="F12" s="11" t="s">
        <v>26</v>
      </c>
      <c r="G12" s="11" t="s">
        <v>29</v>
      </c>
      <c r="H12" s="13">
        <v>67</v>
      </c>
      <c r="I12" s="11">
        <v>4</v>
      </c>
      <c r="J12" s="13">
        <f t="shared" si="1"/>
        <v>268</v>
      </c>
      <c r="L12" s="8"/>
      <c r="M12" s="8"/>
    </row>
    <row r="13" spans="1:13" ht="15.75" thickBot="1" x14ac:dyDescent="0.3">
      <c r="A13" s="4">
        <v>44359</v>
      </c>
      <c r="B13" s="5">
        <v>9285213592</v>
      </c>
      <c r="C13" s="5" t="s">
        <v>13</v>
      </c>
      <c r="D13" s="5" t="s">
        <v>20</v>
      </c>
      <c r="E13" s="6" t="str">
        <f t="shared" si="0"/>
        <v>CHEQUE</v>
      </c>
      <c r="F13" s="5" t="s">
        <v>27</v>
      </c>
      <c r="G13" s="5" t="s">
        <v>28</v>
      </c>
      <c r="H13" s="7">
        <v>145</v>
      </c>
      <c r="I13" s="5">
        <v>5</v>
      </c>
      <c r="J13" s="7">
        <f t="shared" si="1"/>
        <v>725</v>
      </c>
    </row>
    <row r="14" spans="1:13" ht="15.75" thickBot="1" x14ac:dyDescent="0.3">
      <c r="A14" s="10">
        <v>44360</v>
      </c>
      <c r="B14" s="11">
        <v>6242712731</v>
      </c>
      <c r="C14" s="13" t="s">
        <v>14</v>
      </c>
      <c r="D14" s="11" t="s">
        <v>21</v>
      </c>
      <c r="E14" s="12" t="str">
        <f t="shared" si="0"/>
        <v>CHEQUE</v>
      </c>
      <c r="F14" s="11" t="s">
        <v>25</v>
      </c>
      <c r="G14" s="11" t="s">
        <v>28</v>
      </c>
      <c r="H14" s="13">
        <v>192</v>
      </c>
      <c r="I14" s="11">
        <v>6</v>
      </c>
      <c r="J14" s="13">
        <f t="shared" si="1"/>
        <v>1152</v>
      </c>
    </row>
    <row r="15" spans="1:13" ht="15.75" thickBot="1" x14ac:dyDescent="0.3">
      <c r="A15" s="16">
        <v>44361</v>
      </c>
      <c r="B15" s="17">
        <v>2125742997</v>
      </c>
      <c r="C15" s="17" t="s">
        <v>10</v>
      </c>
      <c r="D15" s="17" t="s">
        <v>22</v>
      </c>
      <c r="E15" s="18" t="str">
        <f t="shared" si="0"/>
        <v>CHEQUE</v>
      </c>
      <c r="F15" s="17" t="s">
        <v>26</v>
      </c>
      <c r="G15" s="17" t="s">
        <v>29</v>
      </c>
      <c r="H15" s="19">
        <v>179</v>
      </c>
      <c r="I15" s="17">
        <v>4</v>
      </c>
      <c r="J15" s="19">
        <f t="shared" si="1"/>
        <v>716</v>
      </c>
    </row>
    <row r="16" spans="1:13" ht="15.75" thickBot="1" x14ac:dyDescent="0.3">
      <c r="A16" s="20" t="s">
        <v>30</v>
      </c>
      <c r="B16" s="21"/>
      <c r="C16" s="21"/>
      <c r="D16" s="21"/>
      <c r="E16" s="21"/>
      <c r="F16" s="21"/>
      <c r="G16" s="21"/>
      <c r="H16" s="21"/>
      <c r="I16" s="22"/>
      <c r="J16" s="23">
        <f>SUBTOTAL(109,VENTAS[VENTAS])</f>
        <v>6796</v>
      </c>
    </row>
    <row r="19" spans="2:16" x14ac:dyDescent="0.25">
      <c r="J19" s="9"/>
      <c r="K19" s="8"/>
      <c r="L19" s="8"/>
      <c r="M19" s="8"/>
    </row>
    <row r="20" spans="2:16" x14ac:dyDescent="0.25">
      <c r="B20" s="3"/>
      <c r="J20" s="9"/>
      <c r="K20" s="8"/>
      <c r="L20" s="8"/>
      <c r="M20" s="8"/>
      <c r="O20" s="2"/>
    </row>
    <row r="21" spans="2:16" x14ac:dyDescent="0.25">
      <c r="B21" s="3">
        <v>1</v>
      </c>
      <c r="J21" s="9"/>
      <c r="K21" s="8"/>
      <c r="L21" s="8"/>
      <c r="M21" s="8"/>
      <c r="O21" s="24" t="s">
        <v>31</v>
      </c>
      <c r="P21" s="25">
        <v>60</v>
      </c>
    </row>
    <row r="22" spans="2:16" x14ac:dyDescent="0.25">
      <c r="B22" s="3">
        <v>2</v>
      </c>
      <c r="J22" s="9"/>
      <c r="K22" s="8"/>
      <c r="L22" s="8"/>
      <c r="M22" s="8"/>
      <c r="O22" s="2"/>
      <c r="P22" s="8"/>
    </row>
    <row r="23" spans="2:16" x14ac:dyDescent="0.25">
      <c r="B23" s="3">
        <v>3</v>
      </c>
      <c r="J23" s="9"/>
      <c r="K23" s="8"/>
      <c r="L23" s="8"/>
      <c r="M23" s="8"/>
      <c r="P23" s="2"/>
    </row>
    <row r="24" spans="2:16" x14ac:dyDescent="0.25">
      <c r="B24" s="3">
        <v>2</v>
      </c>
      <c r="J24" s="9"/>
      <c r="K24" s="8"/>
      <c r="L24" s="8"/>
      <c r="M24" s="8"/>
      <c r="O24">
        <v>12345678</v>
      </c>
      <c r="P24" s="2">
        <f>O24* DCTO</f>
        <v>4938271.2</v>
      </c>
    </row>
    <row r="25" spans="2:16" x14ac:dyDescent="0.25">
      <c r="B25" s="3">
        <v>1</v>
      </c>
      <c r="J25" s="9"/>
      <c r="K25" s="8"/>
      <c r="L25" s="8"/>
      <c r="M25" s="8"/>
      <c r="O25">
        <v>123456789</v>
      </c>
      <c r="P25" s="2">
        <f t="shared" ref="P25:P28" si="2">O25* DCTO</f>
        <v>49382715.600000001</v>
      </c>
    </row>
    <row r="26" spans="2:16" x14ac:dyDescent="0.25">
      <c r="B26" s="3">
        <v>2</v>
      </c>
      <c r="O26">
        <v>74785</v>
      </c>
      <c r="P26" s="2">
        <f t="shared" si="2"/>
        <v>29914</v>
      </c>
    </row>
    <row r="27" spans="2:16" x14ac:dyDescent="0.25">
      <c r="B27" s="3">
        <v>1</v>
      </c>
      <c r="O27">
        <v>5646</v>
      </c>
      <c r="P27" s="2">
        <f t="shared" si="2"/>
        <v>2258.4</v>
      </c>
    </row>
    <row r="28" spans="2:16" x14ac:dyDescent="0.25">
      <c r="B28" s="3">
        <v>2</v>
      </c>
      <c r="O28">
        <v>654</v>
      </c>
      <c r="P28" s="2">
        <f t="shared" si="2"/>
        <v>261.60000000000002</v>
      </c>
    </row>
    <row r="29" spans="2:16" x14ac:dyDescent="0.25">
      <c r="B29" s="3">
        <v>2</v>
      </c>
      <c r="O29" s="2"/>
    </row>
    <row r="30" spans="2:16" x14ac:dyDescent="0.25">
      <c r="B30" s="3">
        <v>1</v>
      </c>
    </row>
    <row r="31" spans="2:16" x14ac:dyDescent="0.25">
      <c r="B31" s="3">
        <v>3</v>
      </c>
    </row>
    <row r="32" spans="2:16" x14ac:dyDescent="0.25">
      <c r="B32" s="3">
        <v>1</v>
      </c>
    </row>
    <row r="33" spans="2:2" x14ac:dyDescent="0.25">
      <c r="B33" s="3">
        <v>1</v>
      </c>
    </row>
    <row r="34" spans="2:2" x14ac:dyDescent="0.25">
      <c r="B34" s="3">
        <v>1</v>
      </c>
    </row>
  </sheetData>
  <conditionalFormatting sqref="E2:E15">
    <cfRule type="expression" priority="2">
      <formula>IF($E$2:$E$15=1,CHEQUE)&amp;IF($E$2:$E$15=2,TARJETA)&amp;IF($E$2:$E$15=3,EFECTIVO)</formula>
    </cfRule>
  </conditionalFormatting>
  <conditionalFormatting sqref="B21:B34">
    <cfRule type="expression" priority="1">
      <formula>IF($E$2:$E$15=1,CHEQUE)&amp;IF($E$2:$E$15=2,TARJETA)&amp;IF($E$2:$E$15=3,EFECTIVO)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Poza Sastre</dc:creator>
  <cp:lastModifiedBy>Hugo Poza Sastre</cp:lastModifiedBy>
  <dcterms:created xsi:type="dcterms:W3CDTF">2025-11-18T08:00:58Z</dcterms:created>
  <dcterms:modified xsi:type="dcterms:W3CDTF">2025-11-18T09:02:06Z</dcterms:modified>
</cp:coreProperties>
</file>