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0" documentId="8_{9416022E-E5B1-4084-B4B3-C6EEAF4A3817}" xr6:coauthVersionLast="47" xr6:coauthVersionMax="47" xr10:uidLastSave="{00000000-0000-0000-0000-000000000000}"/>
  <bookViews>
    <workbookView xWindow="0" yWindow="0" windowWidth="16384" windowHeight="8192" tabRatio="500" firstSheet="11" activeTab="15" xr2:uid="{00000000-000D-0000-FFFF-FFFF00000000}"/>
  </bookViews>
  <sheets>
    <sheet name="Indice" sheetId="1" r:id="rId1"/>
    <sheet name="Base de datos" sheetId="2" r:id="rId2"/>
    <sheet name="Busquedas" sheetId="3" r:id="rId3"/>
    <sheet name="Compatibilidad" sheetId="4" r:id="rId4"/>
    <sheet name="Cubo" sheetId="5" r:id="rId5"/>
    <sheet name="Complemento" sheetId="6" r:id="rId6"/>
    <sheet name="Estadisticas" sheetId="7" r:id="rId7"/>
    <sheet name="Fecha y hora" sheetId="8" r:id="rId8"/>
    <sheet name="Financieras" sheetId="9" r:id="rId9"/>
    <sheet name="Hoja de calculo" sheetId="10" r:id="rId10"/>
    <sheet name="Informacion" sheetId="11" r:id="rId11"/>
    <sheet name="Ingeniería" sheetId="12" r:id="rId12"/>
    <sheet name="Logicas" sheetId="13" r:id="rId13"/>
    <sheet name="Matematicas" sheetId="14" r:id="rId14"/>
    <sheet name="Matriz" sheetId="15" r:id="rId15"/>
    <sheet name="Texto " sheetId="16" r:id="rId16"/>
    <sheet name="Web" sheetId="17" r:id="rId1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16" l="1"/>
  <c r="F29" i="16"/>
  <c r="F28" i="16"/>
  <c r="D28" i="16"/>
  <c r="D27" i="16"/>
  <c r="D24" i="16"/>
  <c r="D21" i="16"/>
  <c r="E21" i="16"/>
  <c r="D18" i="16"/>
  <c r="D13" i="16"/>
  <c r="D15" i="16"/>
  <c r="D9" i="16"/>
  <c r="D7" i="16"/>
  <c r="D66" i="13" a="1"/>
  <c r="D66" i="13"/>
  <c r="D65" i="13" a="1"/>
  <c r="D65" i="13"/>
  <c r="D32" i="14"/>
  <c r="C31" i="14"/>
  <c r="C27" i="14"/>
  <c r="C26" i="14"/>
  <c r="D22" i="14"/>
  <c r="C21" i="14"/>
  <c r="C15" i="14"/>
  <c r="C14" i="14"/>
  <c r="C9" i="14"/>
  <c r="C8" i="14"/>
  <c r="D6" i="14"/>
  <c r="F53" i="13"/>
  <c r="F45" i="13"/>
  <c r="F44" i="13"/>
  <c r="F43" i="13"/>
  <c r="F42" i="13"/>
  <c r="F41" i="13"/>
  <c r="F38" i="13"/>
  <c r="F37" i="13"/>
  <c r="F36" i="13"/>
  <c r="F35" i="13"/>
  <c r="E31" i="13"/>
  <c r="E30" i="13"/>
  <c r="F26" i="13"/>
  <c r="F25" i="13"/>
  <c r="F24" i="13"/>
  <c r="F23" i="13"/>
  <c r="F19" i="13"/>
  <c r="F18" i="13"/>
  <c r="F17" i="13"/>
  <c r="F16" i="13"/>
  <c r="F15" i="13"/>
  <c r="F14" i="13"/>
  <c r="F13" i="13"/>
  <c r="F12" i="13"/>
  <c r="H9" i="13"/>
  <c r="H8" i="13"/>
  <c r="H7" i="13"/>
  <c r="H6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<sst xmlns="http://schemas.openxmlformats.org/spreadsheetml/2006/main" count="106" uniqueCount="74">
  <si>
    <t>Asistente de funciones Excel</t>
  </si>
  <si>
    <t>Base de datos</t>
  </si>
  <si>
    <t>Busquedas</t>
  </si>
  <si>
    <t>Compatibilidad</t>
  </si>
  <si>
    <t>Complemento</t>
  </si>
  <si>
    <t>Cubo</t>
  </si>
  <si>
    <t>Estadisticas</t>
  </si>
  <si>
    <t>Fecha y hora</t>
  </si>
  <si>
    <t>Financieras</t>
  </si>
  <si>
    <t>Hoja de calculo</t>
  </si>
  <si>
    <t>Informacion</t>
  </si>
  <si>
    <t>Ingeniería</t>
  </si>
  <si>
    <t>Logicas</t>
  </si>
  <si>
    <t>Matematicas</t>
  </si>
  <si>
    <t>Matriz</t>
  </si>
  <si>
    <t xml:space="preserve">Texto </t>
  </si>
  <si>
    <t>Web</t>
  </si>
  <si>
    <t>Volver al indice</t>
  </si>
  <si>
    <t>Listado de las funciones logicas</t>
  </si>
  <si>
    <t>variables de booleans</t>
  </si>
  <si>
    <t>algebra de Boole</t>
  </si>
  <si>
    <t>A</t>
  </si>
  <si>
    <t>B</t>
  </si>
  <si>
    <t>AND</t>
  </si>
  <si>
    <t>Y</t>
  </si>
  <si>
    <t>1 = VERDADERO</t>
  </si>
  <si>
    <t>0 = FALSO</t>
  </si>
  <si>
    <t>C</t>
  </si>
  <si>
    <t>Y(C11;D11;E11)</t>
  </si>
  <si>
    <t>O</t>
  </si>
  <si>
    <t>OR</t>
  </si>
  <si>
    <t>NO</t>
  </si>
  <si>
    <t>NOT</t>
  </si>
  <si>
    <t>XOR</t>
  </si>
  <si>
    <t>XO</t>
  </si>
  <si>
    <t>SI</t>
  </si>
  <si>
    <t>Temperatura actual</t>
  </si>
  <si>
    <t>Ejercicio 1:</t>
  </si>
  <si>
    <t>Sacar en una celda la frase "Hace Frío" si la temperatura esta por debajo de 15</t>
  </si>
  <si>
    <t>Sacar en una celda la frase "Hace Calor" si la temperatura esta por encima de 15</t>
  </si>
  <si>
    <t>Sacar en una celda la frase "Hace buen tiempo" si la temperatura esta por encima de 15 y por debajo de 25</t>
  </si>
  <si>
    <t>temperatura</t>
  </si>
  <si>
    <t>Ejercicio 2:</t>
  </si>
  <si>
    <t>X</t>
  </si>
  <si>
    <t>Listado de las funciones Matematicas y Trigonometricas</t>
  </si>
  <si>
    <t>ABS()</t>
  </si>
  <si>
    <t>VALOR ABSOLUTO</t>
  </si>
  <si>
    <t>ABS(C5)</t>
  </si>
  <si>
    <t>SUMA</t>
  </si>
  <si>
    <t>SUMA(D7:D11)</t>
  </si>
  <si>
    <t>SUMA(D8;D11)</t>
  </si>
  <si>
    <t>PRODUCTO</t>
  </si>
  <si>
    <t>RESTA</t>
  </si>
  <si>
    <t>MINUENDO</t>
  </si>
  <si>
    <t>SUBSTRAENDO</t>
  </si>
  <si>
    <t>RESULTADO</t>
  </si>
  <si>
    <t>"=C18-C19"</t>
  </si>
  <si>
    <t>SUMA(C18;-C19)</t>
  </si>
  <si>
    <t>DIVISION ENTERA</t>
  </si>
  <si>
    <t>COCIENTE(C24;D24)</t>
  </si>
  <si>
    <t>RESIDUO</t>
  </si>
  <si>
    <t>RESIDUO(C24;D24)</t>
  </si>
  <si>
    <t>POTENCIA</t>
  </si>
  <si>
    <t>BASE</t>
  </si>
  <si>
    <t>EXPONENTE</t>
  </si>
  <si>
    <t>MAYUSC</t>
  </si>
  <si>
    <t>hugo poza</t>
  </si>
  <si>
    <t>MINUSC</t>
  </si>
  <si>
    <t>HUGO POZA</t>
  </si>
  <si>
    <t>NOMPROPIO</t>
  </si>
  <si>
    <t>ENCONTRAR</t>
  </si>
  <si>
    <t>HALLAR</t>
  </si>
  <si>
    <t>EXTRAE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</si>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</sst>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theme="1"/>
      <name val="Arial"/>
    </font>
    <font>
      <u/>
      <sz val="10"/>
      <color theme="10"/>
      <name val="Arial"/>
    </font>
    <font>
      <sz val="2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4E4E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theme="4"/>
        <bgColor rgb="FF666699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15">
    <xf numFmtId="0" fontId="0" fillId="0" borderId="0" xfId="0"/>
    <xf numFmtId="0" fontId="1" fillId="0" borderId="0" xfId="0" applyFont="1"/>
    <xf numFmtId="0" fontId="2" fillId="0" borderId="0" xfId="1" applyBorder="1" applyProtection="1"/>
    <xf numFmtId="0" fontId="2" fillId="2" borderId="0" xfId="1" applyFill="1" applyBorder="1" applyProtection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" fontId="1" fillId="5" borderId="0" xfId="0" applyNumberFormat="1" applyFont="1" applyFill="1"/>
    <xf numFmtId="0" fontId="1" fillId="7" borderId="0" xfId="0" applyFont="1" applyFill="1"/>
    <xf numFmtId="0" fontId="0" fillId="8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2D050"/>
      <rgbColor rgb="FFFFCC00"/>
      <rgbColor rgb="FFFF9900"/>
      <rgbColor rgb="FFFF4E4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</sheetPr>
  <dimension ref="B2:C20"/>
  <sheetViews>
    <sheetView zoomScaleNormal="100" workbookViewId="0">
      <selection activeCell="B17" activeCellId="1" sqref="A1 B17"/>
    </sheetView>
  </sheetViews>
  <sheetFormatPr defaultColWidth="12.5703125" defaultRowHeight="15.75" customHeight="1"/>
  <sheetData>
    <row r="2" spans="2:3" ht="12.75">
      <c r="B2" s="1" t="s">
        <v>0</v>
      </c>
    </row>
    <row r="4" spans="2:3" ht="12.75">
      <c r="B4" s="1"/>
      <c r="C4" s="1"/>
    </row>
    <row r="5" spans="2:3" ht="12.75">
      <c r="B5" s="2">
        <v>1</v>
      </c>
      <c r="C5" s="1" t="s">
        <v>1</v>
      </c>
    </row>
    <row r="6" spans="2:3" ht="12.75">
      <c r="B6" s="2">
        <v>2</v>
      </c>
      <c r="C6" t="s">
        <v>2</v>
      </c>
    </row>
    <row r="7" spans="2:3" ht="12.75">
      <c r="B7" s="2">
        <v>3</v>
      </c>
      <c r="C7" s="1" t="s">
        <v>3</v>
      </c>
    </row>
    <row r="8" spans="2:3" ht="12.75">
      <c r="B8" s="2">
        <v>4</v>
      </c>
      <c r="C8" s="1" t="s">
        <v>4</v>
      </c>
    </row>
    <row r="9" spans="2:3" ht="12.75">
      <c r="B9" s="2">
        <v>5</v>
      </c>
      <c r="C9" s="1" t="s">
        <v>5</v>
      </c>
    </row>
    <row r="10" spans="2:3" ht="12.75">
      <c r="B10" s="2">
        <v>6</v>
      </c>
      <c r="C10" s="1" t="s">
        <v>6</v>
      </c>
    </row>
    <row r="11" spans="2:3" ht="12.75">
      <c r="B11" s="2">
        <v>7</v>
      </c>
      <c r="C11" s="1" t="s">
        <v>7</v>
      </c>
    </row>
    <row r="12" spans="2:3" ht="12.75">
      <c r="B12" s="2">
        <v>8</v>
      </c>
      <c r="C12" s="1" t="s">
        <v>8</v>
      </c>
    </row>
    <row r="13" spans="2:3" ht="12.75">
      <c r="B13" s="2">
        <v>10</v>
      </c>
      <c r="C13" s="1" t="s">
        <v>9</v>
      </c>
    </row>
    <row r="14" spans="2:3" ht="12.75">
      <c r="B14" s="2">
        <v>11</v>
      </c>
      <c r="C14" s="1" t="s">
        <v>10</v>
      </c>
    </row>
    <row r="15" spans="2:3" ht="12.75">
      <c r="B15" s="2">
        <v>12</v>
      </c>
      <c r="C15" s="1" t="s">
        <v>11</v>
      </c>
    </row>
    <row r="16" spans="2:3" ht="15.75" customHeight="1">
      <c r="B16" s="2">
        <v>13</v>
      </c>
      <c r="C16" s="1" t="s">
        <v>12</v>
      </c>
    </row>
    <row r="17" spans="2:3" ht="15.75" customHeight="1">
      <c r="B17" s="2">
        <v>14</v>
      </c>
      <c r="C17" s="1" t="s">
        <v>13</v>
      </c>
    </row>
    <row r="18" spans="2:3" ht="15.75" customHeight="1">
      <c r="B18" s="2">
        <v>15</v>
      </c>
      <c r="C18" s="1" t="s">
        <v>14</v>
      </c>
    </row>
    <row r="19" spans="2:3" ht="15.75" customHeight="1">
      <c r="B19" s="2">
        <v>16</v>
      </c>
      <c r="C19" s="1" t="s">
        <v>15</v>
      </c>
    </row>
    <row r="20" spans="2:3" ht="15.75" customHeight="1">
      <c r="B20" s="2">
        <v>17</v>
      </c>
      <c r="C20" s="1" t="s">
        <v>16</v>
      </c>
    </row>
  </sheetData>
  <hyperlinks>
    <hyperlink ref="B5" location="'Base de datos'!A1" display="#'Base de datos'.A1" xr:uid="{00000000-0004-0000-0000-000000000000}"/>
    <hyperlink ref="B6" location="Busquedas!A1" display="#Busquedas.A1" xr:uid="{00000000-0004-0000-0000-000001000000}"/>
    <hyperlink ref="B7" location="Compatibilidad!A1" display="#Compatibilidad.A1" xr:uid="{00000000-0004-0000-0000-000002000000}"/>
    <hyperlink ref="B8" location="Complemento!A1" display="#Complemento.A1" xr:uid="{00000000-0004-0000-0000-000003000000}"/>
    <hyperlink ref="B9" location="Cubo!A1" display="#Cubo.A1" xr:uid="{00000000-0004-0000-0000-000004000000}"/>
    <hyperlink ref="B10" location="Estadisticas!A1" display="#Estadisticas.A1" xr:uid="{00000000-0004-0000-0000-000005000000}"/>
    <hyperlink ref="B11" location="'Fecha y hora'!A1" display="#'Fecha y hora'.A1" xr:uid="{00000000-0004-0000-0000-000006000000}"/>
    <hyperlink ref="B12" location="Financieras!A1" display="#Financieras.A1" xr:uid="{00000000-0004-0000-0000-000007000000}"/>
    <hyperlink ref="B13" location="'Hoja de calculo'!A1" display="#'Hoja de calculo'.A1" xr:uid="{00000000-0004-0000-0000-000008000000}"/>
    <hyperlink ref="B14" location="Informacion!A1" display="#Informacion.A1" xr:uid="{00000000-0004-0000-0000-000009000000}"/>
    <hyperlink ref="B15" location="Ingeniería!A1" display="#Ingeniería.A1" xr:uid="{00000000-0004-0000-0000-00000A000000}"/>
    <hyperlink ref="B16" location="Logicas!A1" display="#Logicas.A1" xr:uid="{00000000-0004-0000-0000-00000B000000}"/>
    <hyperlink ref="B17" location="Matematicas!A1" display="#Matematicas.A1" xr:uid="{00000000-0004-0000-0000-00000C000000}"/>
    <hyperlink ref="B18" location="Matriz!A1" display="#Matriz.A1" xr:uid="{00000000-0004-0000-0000-00000D000000}"/>
    <hyperlink ref="B19" location="'Texto '!A1" display="#'Texto '.A1" xr:uid="{00000000-0004-0000-0000-00000E000000}"/>
    <hyperlink ref="B20" location="Web!A1" display="#Web.A1" xr:uid="{00000000-0004-0000-0000-00000F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B1:B16"/>
  <sheetViews>
    <sheetView topLeftCell="A16" zoomScaleNormal="100" workbookViewId="0">
      <selection activeCell="B16" sqref="B16"/>
    </sheetView>
  </sheetViews>
  <sheetFormatPr defaultColWidth="11.42578125" defaultRowHeight="12.75" customHeight="1"/>
  <sheetData>
    <row r="1" spans="2:2"/>
    <row r="16" spans="2:2">
      <c r="B16" s="3" t="s">
        <v>17</v>
      </c>
    </row>
  </sheetData>
  <hyperlinks>
    <hyperlink ref="B16" location="Indice!A1" display="Volver al indice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6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1:2" ht="12.75">
      <c r="A1" s="1"/>
      <c r="B1" s="3" t="s">
        <v>17</v>
      </c>
    </row>
  </sheetData>
  <hyperlinks>
    <hyperlink ref="B1" location="Indice!A1" display="Volver al indice" xr:uid="{00000000-0004-0000-0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0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</sheetPr>
  <dimension ref="A1:Z181"/>
  <sheetViews>
    <sheetView topLeftCell="B53" zoomScaleNormal="100" workbookViewId="0">
      <selection activeCell="E67" sqref="E67"/>
    </sheetView>
  </sheetViews>
  <sheetFormatPr defaultColWidth="12.5703125" defaultRowHeight="15.75" customHeight="1"/>
  <cols>
    <col min="7" max="7" width="14.140625" customWidth="1"/>
  </cols>
  <sheetData>
    <row r="1" spans="1:9" ht="15.75" customHeight="1">
      <c r="B1" s="3" t="s">
        <v>17</v>
      </c>
    </row>
    <row r="2" spans="1:9" ht="12.75">
      <c r="A2" s="4"/>
      <c r="B2" s="4"/>
      <c r="C2" s="4"/>
      <c r="D2" s="5"/>
      <c r="E2" s="5"/>
      <c r="F2" s="5"/>
      <c r="G2" s="5"/>
      <c r="H2" s="5"/>
      <c r="I2" s="5"/>
    </row>
    <row r="3" spans="1:9" ht="12.75">
      <c r="A3" s="4"/>
      <c r="B3" s="4" t="s">
        <v>18</v>
      </c>
      <c r="C3" s="4"/>
      <c r="D3" s="5"/>
      <c r="E3" s="5"/>
      <c r="F3" s="5"/>
      <c r="G3" s="5"/>
      <c r="H3" s="5"/>
      <c r="I3" s="5"/>
    </row>
    <row r="4" spans="1:9" ht="12.75">
      <c r="A4" s="4"/>
      <c r="B4" s="4" t="s">
        <v>19</v>
      </c>
      <c r="C4" s="4"/>
      <c r="D4" s="5"/>
      <c r="E4" s="5"/>
      <c r="F4" s="5"/>
      <c r="G4" s="5"/>
      <c r="H4" s="5"/>
      <c r="I4" s="5"/>
    </row>
    <row r="5" spans="1:9" ht="12.75">
      <c r="A5" s="4"/>
      <c r="B5" s="4" t="s">
        <v>20</v>
      </c>
      <c r="C5" s="4"/>
      <c r="D5" s="5" t="s">
        <v>21</v>
      </c>
      <c r="E5" s="5" t="s">
        <v>22</v>
      </c>
      <c r="F5" s="6" t="s">
        <v>23</v>
      </c>
      <c r="G5" s="5" t="s">
        <v>24</v>
      </c>
      <c r="H5" s="5"/>
      <c r="I5" s="5"/>
    </row>
    <row r="6" spans="1:9" ht="12.75">
      <c r="A6" s="4"/>
      <c r="B6" s="4" t="s">
        <v>25</v>
      </c>
      <c r="C6" s="4"/>
      <c r="D6" s="5">
        <v>0</v>
      </c>
      <c r="E6" s="5">
        <v>0</v>
      </c>
      <c r="F6" s="6">
        <v>0</v>
      </c>
      <c r="G6" s="5">
        <v>0</v>
      </c>
      <c r="H6" s="4" t="b">
        <f>AND(D6,E6)</f>
        <v>0</v>
      </c>
      <c r="I6" s="5"/>
    </row>
    <row r="7" spans="1:9" ht="12.75">
      <c r="A7" s="4"/>
      <c r="B7" s="4" t="s">
        <v>26</v>
      </c>
      <c r="C7" s="4"/>
      <c r="D7" s="5">
        <v>0</v>
      </c>
      <c r="E7" s="5">
        <v>1</v>
      </c>
      <c r="F7" s="6">
        <v>0</v>
      </c>
      <c r="G7" s="5">
        <v>0</v>
      </c>
      <c r="H7" s="4" t="b">
        <f>AND(D7,E7)</f>
        <v>0</v>
      </c>
      <c r="I7" s="5"/>
    </row>
    <row r="8" spans="1:9" ht="12.75">
      <c r="A8" s="4"/>
      <c r="B8" s="4"/>
      <c r="C8" s="4"/>
      <c r="D8" s="5">
        <v>1</v>
      </c>
      <c r="E8" s="5">
        <v>0</v>
      </c>
      <c r="F8" s="6">
        <v>0</v>
      </c>
      <c r="G8" s="5">
        <v>0</v>
      </c>
      <c r="H8" s="4" t="b">
        <f>AND(D8,E8)</f>
        <v>0</v>
      </c>
      <c r="I8" s="5"/>
    </row>
    <row r="9" spans="1:9" ht="12.75">
      <c r="A9" s="4"/>
      <c r="C9" s="4"/>
      <c r="D9" s="5">
        <v>1</v>
      </c>
      <c r="E9" s="5">
        <v>1</v>
      </c>
      <c r="F9" s="6">
        <v>1</v>
      </c>
      <c r="G9" s="5">
        <v>1</v>
      </c>
      <c r="H9" s="4" t="b">
        <f>AND(D9,E9)</f>
        <v>1</v>
      </c>
      <c r="I9" s="5"/>
    </row>
    <row r="10" spans="1:9" ht="12.75">
      <c r="A10" s="4"/>
      <c r="B10" s="7" t="s">
        <v>24</v>
      </c>
      <c r="F10" s="5"/>
      <c r="G10" s="5"/>
      <c r="H10" s="5"/>
      <c r="I10" s="5"/>
    </row>
    <row r="11" spans="1:9" ht="12.75">
      <c r="A11" s="4"/>
      <c r="B11" s="4"/>
      <c r="C11" s="5" t="s">
        <v>21</v>
      </c>
      <c r="D11" s="5" t="s">
        <v>22</v>
      </c>
      <c r="E11" s="5" t="s">
        <v>27</v>
      </c>
      <c r="F11" s="5" t="s">
        <v>24</v>
      </c>
      <c r="G11" s="5" t="s">
        <v>28</v>
      </c>
      <c r="H11" s="5"/>
      <c r="I11" s="5"/>
    </row>
    <row r="12" spans="1:9" ht="12.75">
      <c r="A12" s="4"/>
      <c r="B12" s="4"/>
      <c r="C12" s="5">
        <v>0</v>
      </c>
      <c r="D12" s="5">
        <v>0</v>
      </c>
      <c r="E12" s="5">
        <v>0</v>
      </c>
      <c r="F12" s="5" t="b">
        <f>AND(C12:E12)</f>
        <v>0</v>
      </c>
      <c r="G12" s="5"/>
      <c r="H12" s="5"/>
      <c r="I12" s="5"/>
    </row>
    <row r="13" spans="1:9" ht="12.75">
      <c r="A13" s="4"/>
      <c r="B13" s="4"/>
      <c r="C13" s="5">
        <v>0</v>
      </c>
      <c r="D13" s="5">
        <v>0</v>
      </c>
      <c r="E13" s="5">
        <v>1</v>
      </c>
      <c r="F13" s="5" t="b">
        <f>AND(C13:E13)</f>
        <v>0</v>
      </c>
      <c r="G13" s="5"/>
      <c r="H13" s="5"/>
      <c r="I13" s="5"/>
    </row>
    <row r="14" spans="1:9" ht="12.75">
      <c r="A14" s="4"/>
      <c r="B14" s="4"/>
      <c r="C14" s="5">
        <v>0</v>
      </c>
      <c r="D14" s="5">
        <v>1</v>
      </c>
      <c r="E14" s="5">
        <v>0</v>
      </c>
      <c r="F14" s="5" t="b">
        <f>AND(C14:E14)</f>
        <v>0</v>
      </c>
      <c r="G14" s="5"/>
      <c r="H14" s="5"/>
      <c r="I14" s="5"/>
    </row>
    <row r="15" spans="1:9" ht="12.75">
      <c r="A15" s="4"/>
      <c r="B15" s="4"/>
      <c r="C15" s="5">
        <v>0</v>
      </c>
      <c r="D15" s="5">
        <v>1</v>
      </c>
      <c r="E15" s="5">
        <v>1</v>
      </c>
      <c r="F15" s="5" t="b">
        <f>AND(C15:E15)</f>
        <v>0</v>
      </c>
      <c r="G15" s="5"/>
      <c r="H15" s="5"/>
      <c r="I15" s="5"/>
    </row>
    <row r="16" spans="1:9" ht="12.75">
      <c r="A16" s="4"/>
      <c r="B16" s="4"/>
      <c r="C16" s="5">
        <v>1</v>
      </c>
      <c r="D16" s="5">
        <v>0</v>
      </c>
      <c r="E16" s="5">
        <v>0</v>
      </c>
      <c r="F16" s="5" t="b">
        <f>AND(C16:E16)</f>
        <v>0</v>
      </c>
      <c r="G16" s="5"/>
      <c r="H16" s="5"/>
      <c r="I16" s="5"/>
    </row>
    <row r="17" spans="1:9" ht="12.75">
      <c r="A17" s="4"/>
      <c r="B17" s="4"/>
      <c r="C17" s="5">
        <v>1</v>
      </c>
      <c r="D17" s="5">
        <v>0</v>
      </c>
      <c r="E17" s="5">
        <v>1</v>
      </c>
      <c r="F17" s="5" t="b">
        <f>AND(C17:E17)</f>
        <v>0</v>
      </c>
      <c r="G17" s="5"/>
      <c r="H17" s="5"/>
      <c r="I17" s="5"/>
    </row>
    <row r="18" spans="1:9" ht="12.75">
      <c r="A18" s="4"/>
      <c r="B18" s="4"/>
      <c r="C18" s="5">
        <v>1</v>
      </c>
      <c r="D18" s="5">
        <v>1</v>
      </c>
      <c r="E18" s="5">
        <v>0</v>
      </c>
      <c r="F18" s="5" t="b">
        <f>AND(C18:E18)</f>
        <v>0</v>
      </c>
      <c r="G18" s="5"/>
      <c r="H18" s="5"/>
      <c r="I18" s="5"/>
    </row>
    <row r="19" spans="1:9" ht="12.75">
      <c r="A19" s="4"/>
      <c r="B19" s="4"/>
      <c r="C19" s="5">
        <v>1</v>
      </c>
      <c r="D19" s="5">
        <v>1</v>
      </c>
      <c r="E19" s="5">
        <v>1</v>
      </c>
      <c r="F19" s="5" t="b">
        <f>AND(C19:E19)</f>
        <v>1</v>
      </c>
      <c r="G19" s="5"/>
      <c r="H19" s="5"/>
      <c r="I19" s="5"/>
    </row>
    <row r="20" spans="1:9" ht="12.75">
      <c r="A20" s="4"/>
      <c r="B20" s="4"/>
      <c r="C20" s="5"/>
      <c r="D20" s="5"/>
      <c r="E20" s="5"/>
      <c r="F20" s="5"/>
      <c r="G20" s="5"/>
      <c r="H20" s="5"/>
      <c r="I20" s="5"/>
    </row>
    <row r="21" spans="1:9" ht="12.75">
      <c r="A21" s="4"/>
      <c r="B21" s="7" t="s">
        <v>29</v>
      </c>
      <c r="C21" s="5"/>
      <c r="D21" s="5"/>
      <c r="E21" s="5"/>
      <c r="F21" s="5"/>
      <c r="G21" s="5"/>
      <c r="H21" s="5"/>
      <c r="I21" s="5"/>
    </row>
    <row r="22" spans="1:9" ht="12.75">
      <c r="A22" s="4"/>
      <c r="B22" s="4"/>
      <c r="C22" s="5" t="s">
        <v>21</v>
      </c>
      <c r="D22" s="5" t="s">
        <v>22</v>
      </c>
      <c r="E22" s="6" t="s">
        <v>30</v>
      </c>
      <c r="F22" s="5" t="s">
        <v>29</v>
      </c>
      <c r="G22" s="5"/>
      <c r="H22" s="5"/>
      <c r="I22" s="5"/>
    </row>
    <row r="23" spans="1:9" ht="12.75">
      <c r="A23" s="5"/>
      <c r="B23" s="5"/>
      <c r="C23" s="5">
        <v>0</v>
      </c>
      <c r="D23" s="5">
        <v>0</v>
      </c>
      <c r="E23" s="6">
        <v>0</v>
      </c>
      <c r="F23" s="5" t="b">
        <f>OR(C23:D23)</f>
        <v>0</v>
      </c>
      <c r="G23" s="5"/>
      <c r="H23" s="5"/>
      <c r="I23" s="5"/>
    </row>
    <row r="24" spans="1:9" ht="12.75">
      <c r="A24" s="5"/>
      <c r="B24" s="5"/>
      <c r="C24" s="5">
        <v>0</v>
      </c>
      <c r="D24" s="5">
        <v>1</v>
      </c>
      <c r="E24" s="6">
        <v>1</v>
      </c>
      <c r="F24" s="5" t="b">
        <f>OR(C24:D24)</f>
        <v>1</v>
      </c>
      <c r="G24" s="5"/>
      <c r="H24" s="5"/>
      <c r="I24" s="5"/>
    </row>
    <row r="25" spans="1:9" ht="12.75">
      <c r="A25" s="5"/>
      <c r="B25" s="5"/>
      <c r="C25" s="5">
        <v>1</v>
      </c>
      <c r="D25" s="5">
        <v>0</v>
      </c>
      <c r="E25" s="6">
        <v>1</v>
      </c>
      <c r="F25" s="5" t="b">
        <f>OR(C25:D25)</f>
        <v>1</v>
      </c>
      <c r="G25" s="5"/>
      <c r="H25" s="5"/>
      <c r="I25" s="5"/>
    </row>
    <row r="26" spans="1:9" ht="12.75">
      <c r="A26" s="5"/>
      <c r="B26" s="5"/>
      <c r="C26" s="5">
        <v>1</v>
      </c>
      <c r="D26" s="5">
        <v>1</v>
      </c>
      <c r="E26" s="6">
        <v>1</v>
      </c>
      <c r="F26" s="5" t="b">
        <f>OR(C26:D26)</f>
        <v>1</v>
      </c>
      <c r="G26" s="5"/>
      <c r="H26" s="5"/>
      <c r="I26" s="5"/>
    </row>
    <row r="27" spans="1:9" ht="12.75">
      <c r="A27" s="5"/>
      <c r="B27" s="5"/>
      <c r="C27" s="5"/>
      <c r="D27" s="5"/>
      <c r="E27" s="5"/>
      <c r="F27" s="5"/>
      <c r="G27" s="5"/>
      <c r="H27" s="5"/>
      <c r="I27" s="5"/>
    </row>
    <row r="28" spans="1:9" ht="12.75">
      <c r="A28" s="5"/>
      <c r="B28" s="7" t="s">
        <v>31</v>
      </c>
      <c r="C28" s="5"/>
      <c r="D28" s="5"/>
      <c r="E28" s="5"/>
      <c r="F28" s="5"/>
      <c r="G28" s="5"/>
      <c r="H28" s="5"/>
      <c r="I28" s="5"/>
    </row>
    <row r="29" spans="1:9" ht="12.75">
      <c r="A29" s="5"/>
      <c r="B29" s="5"/>
      <c r="C29" s="5" t="s">
        <v>21</v>
      </c>
      <c r="D29" s="6" t="s">
        <v>32</v>
      </c>
      <c r="E29" s="5" t="s">
        <v>31</v>
      </c>
      <c r="F29" s="5"/>
      <c r="G29" s="5"/>
      <c r="H29" s="5"/>
      <c r="I29" s="5"/>
    </row>
    <row r="30" spans="1:9" ht="12.75">
      <c r="A30" s="5"/>
      <c r="B30" s="5"/>
      <c r="C30" s="5">
        <v>0</v>
      </c>
      <c r="D30" s="6">
        <v>1</v>
      </c>
      <c r="E30" s="5" t="b">
        <f>NOT(C30)</f>
        <v>1</v>
      </c>
      <c r="F30" s="5"/>
      <c r="G30" s="5"/>
      <c r="H30" s="5"/>
      <c r="I30" s="5"/>
    </row>
    <row r="31" spans="1:9" ht="12.75">
      <c r="A31" s="5"/>
      <c r="B31" s="5"/>
      <c r="C31" s="5">
        <v>1</v>
      </c>
      <c r="D31" s="6">
        <v>0</v>
      </c>
      <c r="E31" s="5" t="b">
        <f>NOT(C31)</f>
        <v>0</v>
      </c>
      <c r="F31" s="5"/>
      <c r="G31" s="5"/>
      <c r="H31" s="5"/>
      <c r="I31" s="5"/>
    </row>
    <row r="32" spans="1:9" ht="12.75">
      <c r="A32" s="5"/>
      <c r="B32" s="5"/>
      <c r="C32" s="5"/>
      <c r="D32" s="5"/>
      <c r="E32" s="5"/>
      <c r="F32" s="5"/>
      <c r="G32" s="5"/>
      <c r="H32" s="5"/>
      <c r="I32" s="5"/>
    </row>
    <row r="33" spans="1:26" ht="12.75">
      <c r="A33" s="5"/>
      <c r="B33" s="7" t="s">
        <v>33</v>
      </c>
      <c r="C33" s="5"/>
      <c r="D33" s="5"/>
      <c r="E33" s="5"/>
      <c r="F33" s="5"/>
      <c r="G33" s="5"/>
      <c r="H33" s="5"/>
      <c r="I33" s="5"/>
    </row>
    <row r="34" spans="1:26" ht="12.75">
      <c r="C34" s="5" t="s">
        <v>21</v>
      </c>
      <c r="D34" s="5" t="s">
        <v>22</v>
      </c>
      <c r="E34" s="6" t="s">
        <v>34</v>
      </c>
      <c r="F34" s="5" t="s">
        <v>33</v>
      </c>
      <c r="G34" s="5"/>
    </row>
    <row r="35" spans="1:26" ht="12.75">
      <c r="C35" s="5">
        <v>0</v>
      </c>
      <c r="D35" s="5">
        <v>0</v>
      </c>
      <c r="E35" s="6">
        <v>0</v>
      </c>
      <c r="F35" s="5" t="e">
        <f ca="1">_xludf.xor(C35,D35)</f>
        <v>#NAME?</v>
      </c>
      <c r="G35" s="5"/>
    </row>
    <row r="36" spans="1:26" ht="12.75">
      <c r="C36" s="5">
        <v>0</v>
      </c>
      <c r="D36" s="5">
        <v>1</v>
      </c>
      <c r="E36" s="6">
        <v>1</v>
      </c>
      <c r="F36" s="5" t="e">
        <f ca="1">_xludf.xor(C36,D36)</f>
        <v>#NAME?</v>
      </c>
      <c r="G36" s="5"/>
    </row>
    <row r="37" spans="1:26" ht="12.75">
      <c r="C37" s="5">
        <v>1</v>
      </c>
      <c r="D37" s="5">
        <v>0</v>
      </c>
      <c r="E37" s="6">
        <v>1</v>
      </c>
      <c r="F37" s="5" t="e">
        <f ca="1">_xludf.xor(C37,D37)</f>
        <v>#NAME?</v>
      </c>
      <c r="G37" s="5"/>
    </row>
    <row r="38" spans="1:26" ht="12.75">
      <c r="A38" s="5"/>
      <c r="B38" s="5"/>
      <c r="C38" s="5">
        <v>1</v>
      </c>
      <c r="D38" s="5">
        <v>1</v>
      </c>
      <c r="E38" s="6">
        <v>0</v>
      </c>
      <c r="F38" s="5" t="e">
        <f ca="1">_xludf.xor(C38,D38)</f>
        <v>#NAME?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7" t="s">
        <v>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5"/>
      <c r="C41" s="5" t="s">
        <v>36</v>
      </c>
      <c r="D41" s="5"/>
      <c r="E41" s="5">
        <v>20</v>
      </c>
      <c r="F41" s="5" t="str">
        <f>IF(E41&lt;15,"Hace Frio","Hace Calor")</f>
        <v>Hace Calor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5"/>
      <c r="C42" s="5"/>
      <c r="D42" s="5"/>
      <c r="E42" s="5">
        <v>3</v>
      </c>
      <c r="F42" s="5" t="str">
        <f>IF(E42&lt;15,"Hace Frio","Hace Calor")</f>
        <v>Hace Frio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5"/>
      <c r="C43" s="5"/>
      <c r="D43" s="5"/>
      <c r="E43" s="5">
        <v>45</v>
      </c>
      <c r="F43" s="5" t="str">
        <f>IF(E43&lt;15,"Hace Frio","Hace Calor")</f>
        <v>Hace Calor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5"/>
      <c r="C44" s="5"/>
      <c r="D44" s="5"/>
      <c r="E44" s="5">
        <v>67</v>
      </c>
      <c r="F44" s="5" t="str">
        <f>IF(E44&lt;15,"Hace Frio","Hace Calor")</f>
        <v>Hace Calor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5"/>
      <c r="C45" s="5"/>
      <c r="D45" s="5"/>
      <c r="E45" s="5">
        <v>6</v>
      </c>
      <c r="F45" s="5" t="str">
        <f>IF(E45&lt;15,"Hace Frio","Hace Calor")</f>
        <v>Hace Frio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5" t="s">
        <v>37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4" t="s">
        <v>38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4" t="s">
        <v>39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4" t="s">
        <v>40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5"/>
      <c r="C53" s="5" t="s">
        <v>41</v>
      </c>
      <c r="D53" s="5"/>
      <c r="E53" s="5">
        <v>79</v>
      </c>
      <c r="F53" s="5" t="str">
        <f>IF(E53&lt;15,"Hace Frío",IF(E53&lt;25,"Hace buen tiempo","Hace Calor"))</f>
        <v>Hace Calor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5" t="s">
        <v>42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75" customHeight="1">
      <c r="A59" s="5"/>
      <c r="B59" s="5"/>
      <c r="C59" s="8" t="s">
        <v>43</v>
      </c>
      <c r="D59" s="8" t="s">
        <v>43</v>
      </c>
      <c r="E59" s="8" t="s">
        <v>43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75" customHeight="1">
      <c r="A60" s="5"/>
      <c r="B60" s="5"/>
      <c r="C60" s="8"/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75" customHeight="1">
      <c r="A61" s="5"/>
      <c r="B61" s="5"/>
      <c r="C61" s="8"/>
      <c r="D61" s="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5"/>
      <c r="C65" s="5"/>
      <c r="D65" s="5" t="e" cm="1" vm="1">
        <f t="array" aca="1" ref="D65" ca="1">IF(C59:C61="x","HAS GANADO","SIGUE INTENTANDO")</f>
        <v>#VALUE!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5"/>
      <c r="C66" s="5"/>
      <c r="D66" s="5" t="str" cm="1">
        <f t="array" ref="D66:F68">IF(C59:C61="x","HAS GANADO",IF(C59:E59="x","HAS GANADO",IF(C60:E60="x","HAS GANADO",IF(C61:E61="x","HAS GANADO",IF(D59:D61="x","HAS GANADO",IF(E59:E61="x","HAS GANADO","VUELVE A INTENTARLO"))))))</f>
        <v>HAS GANADO</v>
      </c>
      <c r="E66" s="5" t="str">
        <v>HAS GANADO</v>
      </c>
      <c r="F66" s="5" t="str">
        <v>HAS GANADO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5"/>
      <c r="C67" s="5"/>
      <c r="D67" s="5" t="str">
        <v>HAS GANADO</v>
      </c>
      <c r="E67" s="5" t="str">
        <v>HAS GANADO</v>
      </c>
      <c r="F67" s="5" t="str">
        <v>HAS GANADO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5"/>
      <c r="C68" s="5"/>
      <c r="D68" s="5" t="str">
        <v>HAS GANADO</v>
      </c>
      <c r="E68" s="5" t="str">
        <v>HAS GANADO</v>
      </c>
      <c r="F68" s="5" t="str">
        <v>HAS GANADO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</sheetData>
  <hyperlinks>
    <hyperlink ref="B1" location="Indice!A1" display="Volver al indice" xr:uid="{00000000-0004-0000-0C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B1:E32"/>
  <sheetViews>
    <sheetView zoomScaleNormal="100" workbookViewId="0">
      <selection activeCell="I14" sqref="I14"/>
    </sheetView>
  </sheetViews>
  <sheetFormatPr defaultColWidth="12.5703125" defaultRowHeight="15.75" customHeight="1"/>
  <cols>
    <col min="4" max="4" width="17.140625" customWidth="1"/>
    <col min="5" max="5" width="18.7109375" customWidth="1"/>
  </cols>
  <sheetData>
    <row r="1" spans="2:5" ht="15.75" customHeight="1">
      <c r="B1" s="3" t="s">
        <v>17</v>
      </c>
    </row>
    <row r="3" spans="2:5" ht="12.75">
      <c r="B3" s="1" t="s">
        <v>44</v>
      </c>
    </row>
    <row r="5" spans="2:5" ht="12.75">
      <c r="B5" s="9" t="s">
        <v>45</v>
      </c>
      <c r="D5" s="5" t="s">
        <v>46</v>
      </c>
      <c r="E5" s="1" t="s">
        <v>47</v>
      </c>
    </row>
    <row r="6" spans="2:5" ht="12.75">
      <c r="C6" s="1">
        <v>-23</v>
      </c>
      <c r="D6" s="1">
        <f>ABS(C6)</f>
        <v>23</v>
      </c>
    </row>
    <row r="7" spans="2:5" ht="12.75">
      <c r="B7" s="9" t="s">
        <v>48</v>
      </c>
    </row>
    <row r="8" spans="2:5" ht="12.75">
      <c r="C8" s="10">
        <f>SUM(D8:D12)</f>
        <v>21</v>
      </c>
      <c r="D8" s="1">
        <v>2</v>
      </c>
      <c r="E8" s="1" t="s">
        <v>49</v>
      </c>
    </row>
    <row r="9" spans="2:5" ht="12.75">
      <c r="C9" s="1">
        <f>SUM(D9,D12)</f>
        <v>10</v>
      </c>
      <c r="D9" s="11">
        <v>3</v>
      </c>
      <c r="E9" s="1" t="s">
        <v>50</v>
      </c>
    </row>
    <row r="10" spans="2:5" ht="12.75">
      <c r="D10" s="1">
        <v>4</v>
      </c>
    </row>
    <row r="11" spans="2:5" ht="12.75">
      <c r="D11" s="1">
        <v>5</v>
      </c>
    </row>
    <row r="12" spans="2:5" ht="12.75">
      <c r="D12" s="11">
        <v>7</v>
      </c>
    </row>
    <row r="13" spans="2:5" ht="12.75">
      <c r="B13" s="9" t="s">
        <v>51</v>
      </c>
    </row>
    <row r="14" spans="2:5" ht="12.75">
      <c r="C14" s="10">
        <f>PRODUCT(D14:D18)</f>
        <v>840</v>
      </c>
      <c r="D14" s="11">
        <v>2</v>
      </c>
    </row>
    <row r="15" spans="2:5" ht="12.75">
      <c r="C15" s="1">
        <f>PRODUCT(D17,D14)</f>
        <v>10</v>
      </c>
      <c r="D15" s="1">
        <v>3</v>
      </c>
    </row>
    <row r="16" spans="2:5" ht="12.75">
      <c r="D16" s="1">
        <v>4</v>
      </c>
    </row>
    <row r="17" spans="2:5" ht="12.75">
      <c r="D17" s="11">
        <v>5</v>
      </c>
    </row>
    <row r="18" spans="2:5" ht="12.75">
      <c r="D18" s="1">
        <v>7</v>
      </c>
    </row>
    <row r="19" spans="2:5" ht="12.75">
      <c r="B19" s="9" t="s">
        <v>52</v>
      </c>
      <c r="C19" s="1">
        <v>34</v>
      </c>
      <c r="D19" s="1" t="s">
        <v>53</v>
      </c>
    </row>
    <row r="20" spans="2:5" ht="12.75">
      <c r="C20" s="1">
        <v>23</v>
      </c>
      <c r="D20" s="1" t="s">
        <v>54</v>
      </c>
    </row>
    <row r="21" spans="2:5" ht="12.75">
      <c r="C21" s="10">
        <f>C19-C20</f>
        <v>11</v>
      </c>
      <c r="D21" s="1" t="s">
        <v>55</v>
      </c>
      <c r="E21" s="1" t="s">
        <v>56</v>
      </c>
    </row>
    <row r="22" spans="2:5" ht="12.75">
      <c r="D22" s="10">
        <f>SUM(C19,-C20)</f>
        <v>11</v>
      </c>
      <c r="E22" s="1" t="s">
        <v>57</v>
      </c>
    </row>
    <row r="24" spans="2:5" ht="12.75">
      <c r="B24" s="9" t="s">
        <v>58</v>
      </c>
    </row>
    <row r="25" spans="2:5" ht="12.75">
      <c r="C25" s="1">
        <v>28</v>
      </c>
      <c r="D25" s="1">
        <v>5</v>
      </c>
    </row>
    <row r="26" spans="2:5" ht="12.75">
      <c r="C26" s="12">
        <f>QUOTIENT(C25,D25)</f>
        <v>5</v>
      </c>
      <c r="E26" s="1" t="s">
        <v>59</v>
      </c>
    </row>
    <row r="27" spans="2:5" ht="12.75">
      <c r="B27" s="9" t="s">
        <v>60</v>
      </c>
      <c r="C27" s="13">
        <f>MOD(C25,D25)</f>
        <v>3</v>
      </c>
      <c r="E27" s="1" t="s">
        <v>61</v>
      </c>
    </row>
    <row r="29" spans="2:5" ht="12.75">
      <c r="B29" s="9" t="s">
        <v>62</v>
      </c>
      <c r="C29" s="1">
        <v>2</v>
      </c>
      <c r="D29" s="1" t="s">
        <v>63</v>
      </c>
    </row>
    <row r="30" spans="2:5" ht="12.75">
      <c r="C30" s="1">
        <v>8</v>
      </c>
      <c r="D30" s="1" t="s">
        <v>64</v>
      </c>
    </row>
    <row r="31" spans="2:5" ht="12.75">
      <c r="C31" s="10">
        <f>C29^C30</f>
        <v>256</v>
      </c>
    </row>
    <row r="32" spans="2:5" ht="12.75">
      <c r="D32" s="10">
        <f>POWER(C29,C30)</f>
        <v>256</v>
      </c>
    </row>
  </sheetData>
  <hyperlinks>
    <hyperlink ref="B1" location="Indice!A1" display="Volver al indice" xr:uid="{00000000-0004-0000-0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</sheetPr>
  <dimension ref="B1"/>
  <sheetViews>
    <sheetView zoomScaleNormal="100" workbookViewId="0"/>
  </sheetViews>
  <sheetFormatPr defaultColWidth="12.5703125" defaultRowHeight="15.75" customHeight="1"/>
  <sheetData>
    <row r="1" spans="2:2" ht="15.75" customHeight="1">
      <c r="B1" s="3" t="s">
        <v>17</v>
      </c>
    </row>
  </sheetData>
  <hyperlinks>
    <hyperlink ref="B1" location="Indice!A1" display="Volver al indice" xr:uid="{00000000-0004-0000-0E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B1:F32"/>
  <sheetViews>
    <sheetView tabSelected="1" topLeftCell="A5" zoomScaleNormal="100" workbookViewId="0">
      <selection activeCell="E33" sqref="E33"/>
    </sheetView>
  </sheetViews>
  <sheetFormatPr defaultColWidth="12.5703125" defaultRowHeight="15.75" customHeight="1"/>
  <sheetData>
    <row r="1" spans="2:5" ht="15.75" customHeight="1">
      <c r="B1" s="3" t="s">
        <v>17</v>
      </c>
    </row>
    <row r="6" spans="2:5" ht="15.75" customHeight="1">
      <c r="C6" s="14" t="s">
        <v>65</v>
      </c>
    </row>
    <row r="7" spans="2:5" ht="15.75" customHeight="1">
      <c r="D7" t="str">
        <f>UPPER("hugo poza")</f>
        <v>HUGO POZA</v>
      </c>
      <c r="E7" t="s">
        <v>66</v>
      </c>
    </row>
    <row r="9" spans="2:5" ht="15.75" customHeight="1">
      <c r="D9" t="str">
        <f>UPPER(E7)</f>
        <v>HUGO POZA</v>
      </c>
    </row>
    <row r="11" spans="2:5" ht="15.75" customHeight="1">
      <c r="C11" s="14" t="s">
        <v>67</v>
      </c>
    </row>
    <row r="13" spans="2:5" ht="15.75" customHeight="1">
      <c r="D13" t="str">
        <f>LOWER("HUGO POZA")</f>
        <v>hugo poza</v>
      </c>
      <c r="E13" t="s">
        <v>68</v>
      </c>
    </row>
    <row r="15" spans="2:5" ht="15.75" customHeight="1">
      <c r="D15" t="str">
        <f>LOWER(E13)</f>
        <v>hugo poza</v>
      </c>
    </row>
    <row r="17" spans="3:6" ht="15.75" customHeight="1">
      <c r="C17" s="14" t="s">
        <v>69</v>
      </c>
    </row>
    <row r="18" spans="3:6" ht="15.75" customHeight="1">
      <c r="D18" t="str">
        <f>PROPER(E18)</f>
        <v>Hugo Poza</v>
      </c>
      <c r="E18" t="s">
        <v>66</v>
      </c>
    </row>
    <row r="20" spans="3:6" ht="15.75" customHeight="1">
      <c r="C20" s="14" t="s">
        <v>70</v>
      </c>
    </row>
    <row r="21" spans="3:6" ht="15.75" customHeight="1">
      <c r="D21">
        <f>FIND("o",D13)</f>
        <v>4</v>
      </c>
      <c r="E21" t="str">
        <f>LOWER("HUGO POZA")</f>
        <v>hugo poza</v>
      </c>
    </row>
    <row r="23" spans="3:6" ht="15.75" customHeight="1">
      <c r="C23" s="14" t="s">
        <v>71</v>
      </c>
    </row>
    <row r="24" spans="3:6" ht="15.75" customHeight="1">
      <c r="D24">
        <f>SEARCH("H",D18,1)</f>
        <v>1</v>
      </c>
    </row>
    <row r="26" spans="3:6" ht="15.75" customHeight="1">
      <c r="C26" s="14" t="s">
        <v>72</v>
      </c>
    </row>
    <row r="27" spans="3:6" ht="15.75" customHeight="1">
      <c r="D27" t="str">
        <f>MID(E13,1,4)</f>
        <v>HUGO</v>
      </c>
      <c r="E27" t="s">
        <v>68</v>
      </c>
    </row>
    <row r="28" spans="3:6" ht="15.75" customHeight="1">
      <c r="D28" t="str">
        <f>MID(E13,6,4)</f>
        <v>POZA</v>
      </c>
      <c r="F28" t="str">
        <f>LEFT(E27,FIND(" ",E27))</f>
        <v xml:space="preserve">HUGO </v>
      </c>
    </row>
    <row r="29" spans="3:6" ht="15.75" customHeight="1">
      <c r="F29" t="str">
        <f>RIGHT(E27,LEN(E27)-FIND(" ",E27))</f>
        <v>POZA</v>
      </c>
    </row>
    <row r="31" spans="3:6" ht="15.75" customHeight="1">
      <c r="C31" s="14" t="s">
        <v>73</v>
      </c>
    </row>
    <row r="32" spans="3:6" ht="15.75" customHeight="1">
      <c r="D32" t="s">
        <v>68</v>
      </c>
      <c r="E32">
        <f>LEN(D32)</f>
        <v>9</v>
      </c>
    </row>
  </sheetData>
  <hyperlinks>
    <hyperlink ref="B1" location="Indice!A1" display="Volver al indice" xr:uid="{00000000-0004-0000-0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</sheetPr>
  <dimension ref="B1"/>
  <sheetViews>
    <sheetView zoomScaleNormal="100" workbookViewId="0">
      <selection activeCell="B1" sqref="B1"/>
    </sheetView>
  </sheetViews>
  <sheetFormatPr defaultColWidth="11.42578125" defaultRowHeight="12.75" customHeight="1"/>
  <sheetData>
    <row r="1" spans="2:2">
      <c r="B1" s="3" t="s">
        <v>17</v>
      </c>
    </row>
  </sheetData>
  <hyperlinks>
    <hyperlink ref="B1" location="Indice!A1" display="Volver al indice" xr:uid="{00000000-0004-0000-1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2025-09-30T08:45:56Z</dcterms:created>
  <dcterms:modified xsi:type="dcterms:W3CDTF">2025-10-14T09:40:59Z</dcterms:modified>
  <cp:category/>
  <cp:contentStatus/>
</cp:coreProperties>
</file>